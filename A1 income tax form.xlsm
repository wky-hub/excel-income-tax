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459652DC-94C4-46B3-8486-3784E08FD033}" xr6:coauthVersionLast="47" xr6:coauthVersionMax="47" xr10:uidLastSave="{00000000-0000-0000-0000-000000000000}"/>
  <bookViews>
    <workbookView xWindow="-110" yWindow="-110" windowWidth="19420" windowHeight="10420" activeTab="1" xr2:uid="{A0FE6B48-DBC8-4B21-94CE-02CDDE9F8B88}"/>
  </bookViews>
  <sheets>
    <sheet name="Income Tax Form" sheetId="1" r:id="rId1"/>
    <sheet name="Sample Case" sheetId="4" r:id="rId2"/>
  </sheets>
  <functionGroups builtInGroupCount="19"/>
  <definedNames>
    <definedName name="_xlnm._FilterDatabase" localSheetId="0" hidden="1">'Income Tax Form'!$C$25:$C$26</definedName>
    <definedName name="_xlnm._FilterDatabase" localSheetId="1" hidden="1">'Sample Case'!$C$25:$C$26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3" i="4" l="1"/>
  <c r="R26" i="4"/>
  <c r="R25" i="4"/>
  <c r="I25" i="4"/>
  <c r="I24" i="4"/>
  <c r="H34" i="4" l="1"/>
  <c r="H35" i="4" s="1"/>
  <c r="I25" i="1"/>
  <c r="I24" i="1"/>
  <c r="R25" i="1"/>
  <c r="R26" i="1"/>
  <c r="H33" i="1"/>
  <c r="H34" i="1" l="1"/>
  <c r="H3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M5" authorId="0" shapeId="0" xr:uid="{A2635958-3FF0-4CD2-B730-E3C63A72554B}">
      <text>
        <r>
          <rPr>
            <sz val="10"/>
            <color theme="1"/>
            <rFont val="Calibri"/>
            <family val="2"/>
            <scheme val="minor"/>
          </rPr>
          <t>Total salary, bonus, director's fee, commission and perquisite</t>
        </r>
      </text>
    </comment>
    <comment ref="F9" authorId="0" shapeId="0" xr:uid="{CD40E435-1458-494D-9942-AE8B0F0DF1D0}">
      <text>
        <r>
          <rPr>
            <sz val="10"/>
            <color theme="1"/>
            <rFont val="Calibri"/>
            <family val="2"/>
            <scheme val="minor"/>
          </rPr>
          <t>RM9,000 in tax relief for Self Relief</t>
        </r>
      </text>
    </comment>
    <comment ref="F10" authorId="0" shapeId="0" xr:uid="{9AD90EAF-0EC9-436B-ABB0-DE3C2CADC63C}">
      <text>
        <r>
          <rPr>
            <sz val="10"/>
            <color theme="1"/>
            <rFont val="Calibri"/>
            <family val="2"/>
            <scheme val="minor"/>
          </rPr>
          <t>Select Yes if you have any disabilities for tax relief of RM6,000</t>
        </r>
      </text>
    </comment>
    <comment ref="F11" authorId="0" shapeId="0" xr:uid="{5F9B36E1-953D-4370-B8C0-4A57F4F4217F}">
      <text>
        <r>
          <rPr>
            <sz val="10"/>
            <color theme="1"/>
            <rFont val="Calibri"/>
            <family val="2"/>
            <scheme val="minor"/>
          </rPr>
          <t>Select Yes if your spouse no working or elects for combined assessment for tax relief of RM4,000</t>
        </r>
      </text>
    </comment>
    <comment ref="F12" authorId="0" shapeId="0" xr:uid="{5B689EED-AD33-495A-BE06-3292781DA726}">
      <text>
        <r>
          <rPr>
            <sz val="10"/>
            <color theme="1"/>
            <rFont val="Calibri"/>
            <family val="2"/>
            <scheme val="minor"/>
          </rPr>
          <t xml:space="preserve">Select yes if your spouse has any disabilities for tax relief of RM3,500 </t>
        </r>
      </text>
    </comment>
    <comment ref="F13" authorId="0" shapeId="0" xr:uid="{E3093E8A-A041-46E3-A840-2AD7B4712C4B}">
      <text>
        <r>
          <rPr>
            <sz val="10"/>
            <color theme="1"/>
            <rFont val="Calibri"/>
            <family val="2"/>
            <scheme val="minor"/>
          </rPr>
          <t>Up to RM250 in tax relief for SOCSO</t>
        </r>
      </text>
    </comment>
    <comment ref="F14" authorId="0" shapeId="0" xr:uid="{A35D2D19-3541-4436-ADE2-9A213B00AEA6}">
      <text>
        <r>
          <rPr>
            <sz val="10"/>
            <color theme="1"/>
            <rFont val="Calibri"/>
            <family val="2"/>
            <scheme val="minor"/>
          </rPr>
          <t>Up to RM4,000 in tax relief for EPF</t>
        </r>
      </text>
    </comment>
    <comment ref="F15" authorId="0" shapeId="0" xr:uid="{F8E66A24-9CEB-4F1D-A8A9-66863A0C94F5}">
      <text>
        <r>
          <rPr>
            <sz val="10"/>
            <color theme="1"/>
            <rFont val="Calibri"/>
            <family val="2"/>
            <scheme val="minor"/>
          </rPr>
          <t>Up to RM3,000 for total premiums paid for life insurance</t>
        </r>
      </text>
    </comment>
    <comment ref="F16" authorId="0" shapeId="0" xr:uid="{39ABB6C7-109B-4EFD-A173-A3B0DDE2B69B}">
      <text>
        <r>
          <rPr>
            <sz val="10"/>
            <color theme="1"/>
            <rFont val="Calibri"/>
            <family val="2"/>
            <scheme val="minor"/>
          </rPr>
          <t xml:space="preserve">Up to RM3,000 for private retirement scheme and deferred annuity (PRS) approved by the Securities Commission </t>
        </r>
      </text>
    </comment>
    <comment ref="F17" authorId="0" shapeId="0" xr:uid="{D6A3AA95-4BE2-4977-B9FA-61921D18A260}">
      <text>
        <r>
          <rPr>
            <sz val="10"/>
            <color theme="1"/>
            <rFont val="Calibri"/>
            <family val="2"/>
            <scheme val="minor"/>
          </rPr>
          <t>Up to RM3,000 for total premiums paid for medical and education insurance</t>
        </r>
      </text>
    </comment>
    <comment ref="C21" authorId="0" shapeId="0" xr:uid="{2B74ED29-3B76-45E6-9B89-E5C23A21CA19}">
      <text>
        <r>
          <rPr>
            <sz val="10"/>
            <color theme="1"/>
            <rFont val="Calibri"/>
            <family val="2"/>
            <scheme val="minor"/>
          </rPr>
          <t>Up to RM2,500 for personal computer, smartphone or tablet for self, spouse or child 
**Additional deduction which applicable for purchases made within the period of 1 June 2020 to 31 December 2020</t>
        </r>
      </text>
    </comment>
    <comment ref="C22" authorId="0" shapeId="0" xr:uid="{7606ED4F-1F19-4C4A-88E1-226F92D8A6BD}">
      <text>
        <r>
          <rPr>
            <sz val="10"/>
            <color theme="1"/>
            <rFont val="Calibri"/>
            <family val="2"/>
            <scheme val="minor"/>
          </rPr>
          <t xml:space="preserve">Up to RM2,500 for books and magazines, PC or smartphone, sports equipment or gym membership, internet subscription </t>
        </r>
      </text>
    </comment>
    <comment ref="K22" authorId="0" shapeId="0" xr:uid="{366A3F08-AE2B-4340-802F-643B34A20DF3}">
      <text>
        <r>
          <rPr>
            <sz val="10"/>
            <color theme="1"/>
            <rFont val="Calibri"/>
            <family val="2"/>
            <scheme val="minor"/>
          </rPr>
          <t>Up to RM6,000 for total cost of medical examinations(Max 500) and hospital bills for serious diseases for self, spouse and children (expanded to cover the cost of fertility treatment for married couples)</t>
        </r>
      </text>
    </comment>
    <comment ref="C23" authorId="0" shapeId="0" xr:uid="{0AA5A3F0-24DF-4B7C-9BD1-30423677525F}">
      <text>
        <r>
          <rPr>
            <sz val="10"/>
            <color theme="1"/>
            <rFont val="Calibri"/>
            <family val="2"/>
            <scheme val="minor"/>
          </rPr>
          <t>Up to RM7,000 for professional and technical qualification courses or Masters and PHD in any field</t>
        </r>
      </text>
    </comment>
    <comment ref="K23" authorId="0" shapeId="0" xr:uid="{726DDB80-7AB1-49E1-9F3A-278278B66A26}">
      <text>
        <r>
          <rPr>
            <sz val="10"/>
            <color theme="1"/>
            <rFont val="Calibri"/>
            <family val="2"/>
            <scheme val="minor"/>
          </rPr>
          <t>Up to RM5,000 for medical expenses and nursing care for own parents</t>
        </r>
      </text>
    </comment>
    <comment ref="C24" authorId="0" shapeId="0" xr:uid="{8A4A4D44-41F6-41AB-A93E-72AC6E71D335}">
      <text>
        <r>
          <rPr>
            <sz val="10"/>
            <color theme="1"/>
            <rFont val="Calibri"/>
            <family val="2"/>
            <scheme val="minor"/>
          </rPr>
          <t>Include all children below the age of 18. 
**For children above the age of 18, only include if they are not married and still studying full time, tax relief of RM2,000 for each</t>
        </r>
      </text>
    </comment>
    <comment ref="K24" authorId="0" shapeId="0" xr:uid="{23F3F3AE-2281-4E70-92A6-95B7CD5BEEAB}">
      <text>
        <r>
          <rPr>
            <sz val="10"/>
            <color theme="1"/>
            <rFont val="Calibri"/>
            <family val="2"/>
            <scheme val="minor"/>
          </rPr>
          <t>Up to RM1,500 (Either Parent) / Up to RM3,000 (Both Parent)
**If more than one individual claim this deduction, the amount of deduction has to be equally apportioned according to the number of individuals who claim in respect of the same parent (Father or mother; Father and mother). Each parent annual income does NOT exceed RM24,000.</t>
        </r>
      </text>
    </comment>
    <comment ref="C25" authorId="0" shapeId="0" xr:uid="{AA9F88EA-268C-4DC7-A4B0-8D1392281F9B}">
      <text>
        <r>
          <rPr>
            <sz val="10"/>
            <color theme="1"/>
            <rFont val="Calibri"/>
            <family val="2"/>
            <scheme val="minor"/>
          </rPr>
          <t>Only include children above the age of 18 that are not married and studying full time for their diploma (locally) or degree (overseas) or higher, additional tax relief of RM8,000 for each</t>
        </r>
      </text>
    </comment>
    <comment ref="K25" authorId="0" shapeId="0" xr:uid="{074AD943-B9EE-4A40-AE54-C889C4DA62FB}">
      <text>
        <r>
          <rPr>
            <sz val="10"/>
            <color theme="1"/>
            <rFont val="Calibri"/>
            <family val="2"/>
            <scheme val="minor"/>
          </rPr>
          <t>Select number of children that have any disabilities for additional tax relief of RM6,000 for each unmarried child</t>
        </r>
      </text>
    </comment>
    <comment ref="C26" authorId="0" shapeId="0" xr:uid="{A0EBAF99-674C-4A76-9E7E-8ED4A1300DF6}">
      <text>
        <r>
          <rPr>
            <sz val="10"/>
            <color theme="1"/>
            <rFont val="Calibri"/>
            <family val="2"/>
            <scheme val="minor"/>
          </rPr>
          <t>Up to RM8,000 for net savings with SSPN for your children's higher education with PTPTN</t>
        </r>
      </text>
    </comment>
    <comment ref="K26" authorId="0" shapeId="0" xr:uid="{CEBE5016-59FA-4BA6-92BE-BE8CAED33825}">
      <text>
        <r>
          <rPr>
            <sz val="10"/>
            <color theme="1"/>
            <rFont val="Calibri"/>
            <family val="2"/>
            <scheme val="minor"/>
          </rPr>
          <t>Only include disable children above the age of 18 that are not married and studying full time for their diploma (locally) or degree (overseas) or higher, additional tax relief of RM14,000 for each</t>
        </r>
      </text>
    </comment>
    <comment ref="C27" authorId="0" shapeId="0" xr:uid="{987AB464-166F-44FF-AEC4-64A86BBEDDD3}">
      <text>
        <r>
          <rPr>
            <sz val="10"/>
            <color theme="1"/>
            <rFont val="Calibri"/>
            <family val="2"/>
            <scheme val="minor"/>
          </rPr>
          <t>Up to RM6,000 for cost of basic supporting equipment for disabled individual (self, spouse, child or parent)</t>
        </r>
      </text>
    </comment>
    <comment ref="K27" authorId="0" shapeId="0" xr:uid="{B20B4CDF-A416-46AB-AD8D-F2E379141AD5}">
      <text>
        <r>
          <rPr>
            <sz val="10"/>
            <color theme="1"/>
            <rFont val="Calibri"/>
            <family val="2"/>
            <scheme val="minor"/>
          </rPr>
          <t>Up to RM1,000 in tax relief for breastfeeding equipment costs (applicable to working women with child aged up to 2 years and can be claimed once every 2 years)</t>
        </r>
      </text>
    </comment>
    <comment ref="C28" authorId="0" shapeId="0" xr:uid="{CBABFD80-CD9A-4F19-BB9B-D4FE9E0F17DB}">
      <text>
        <r>
          <rPr>
            <sz val="10"/>
            <color theme="1"/>
            <rFont val="Calibri"/>
            <family val="2"/>
            <scheme val="minor"/>
          </rPr>
          <t>Up to RM3,000 in tax relief for child care cost and kindergarten enrolment</t>
        </r>
      </text>
    </comment>
    <comment ref="C29" authorId="0" shapeId="0" xr:uid="{83135355-BC95-4734-BC44-8B64467F210B}">
      <text>
        <r>
          <rPr>
            <sz val="10"/>
            <color theme="1"/>
            <rFont val="Calibri"/>
            <family val="2"/>
            <scheme val="minor"/>
          </rPr>
          <t xml:space="preserve">Up to RM1,000 for accomodation expenses at premises registered with the Ministry of Tourism, Arts and Culture Malaysia and entrance fees to tourists attractions incurred on or after 1st March 2020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M5" authorId="0" shapeId="0" xr:uid="{5A43A2F8-BDB4-469E-8C62-D1E8CF0DA093}">
      <text>
        <r>
          <rPr>
            <sz val="10"/>
            <color theme="1"/>
            <rFont val="Calibri"/>
            <family val="2"/>
            <scheme val="minor"/>
          </rPr>
          <t>Total salary, bonus, director's fee, commission and perquisite</t>
        </r>
      </text>
    </comment>
    <comment ref="F9" authorId="0" shapeId="0" xr:uid="{882FB531-9B62-44B3-9C2A-C521F816DF2D}">
      <text>
        <r>
          <rPr>
            <sz val="10"/>
            <color theme="1"/>
            <rFont val="Calibri"/>
            <family val="2"/>
            <scheme val="minor"/>
          </rPr>
          <t>RM9,000 in tax relief for Self Relief</t>
        </r>
      </text>
    </comment>
    <comment ref="F10" authorId="0" shapeId="0" xr:uid="{D65632E7-21A9-4700-A9B9-A2035D587087}">
      <text>
        <r>
          <rPr>
            <sz val="10"/>
            <color theme="1"/>
            <rFont val="Calibri"/>
            <family val="2"/>
            <scheme val="minor"/>
          </rPr>
          <t>Select Yes if you have any disabilities for tax relief of RM6,000</t>
        </r>
      </text>
    </comment>
    <comment ref="F11" authorId="0" shapeId="0" xr:uid="{B6C5D6F6-CABE-40C6-A733-71924EB4F421}">
      <text>
        <r>
          <rPr>
            <sz val="10"/>
            <color theme="1"/>
            <rFont val="Calibri"/>
            <family val="2"/>
            <scheme val="minor"/>
          </rPr>
          <t>Select Yes if your spouse no working or elects for combined assessment for tax relief of RM4,000</t>
        </r>
      </text>
    </comment>
    <comment ref="F12" authorId="0" shapeId="0" xr:uid="{6AC9571B-98AE-4B44-B65F-4085C8B50451}">
      <text>
        <r>
          <rPr>
            <sz val="10"/>
            <color theme="1"/>
            <rFont val="Calibri"/>
            <family val="2"/>
            <scheme val="minor"/>
          </rPr>
          <t xml:space="preserve">Select yes if your spouse has any disabilities for tax relief of RM3,500 </t>
        </r>
      </text>
    </comment>
    <comment ref="F13" authorId="0" shapeId="0" xr:uid="{6287CDE6-7AB4-49FE-9478-FB9A097A28D9}">
      <text>
        <r>
          <rPr>
            <sz val="10"/>
            <color theme="1"/>
            <rFont val="Calibri"/>
            <family val="2"/>
            <scheme val="minor"/>
          </rPr>
          <t>Up to RM250 in tax relief for SOCSO</t>
        </r>
      </text>
    </comment>
    <comment ref="F14" authorId="0" shapeId="0" xr:uid="{935EE586-9150-46DA-A421-445705D78D5D}">
      <text>
        <r>
          <rPr>
            <sz val="10"/>
            <color theme="1"/>
            <rFont val="Calibri"/>
            <family val="2"/>
            <scheme val="minor"/>
          </rPr>
          <t>Up to RM4,000 in tax relief for EPF</t>
        </r>
      </text>
    </comment>
    <comment ref="F15" authorId="0" shapeId="0" xr:uid="{9B4FB36F-E1E1-4C41-8A15-D8DBCCBF1D19}">
      <text>
        <r>
          <rPr>
            <sz val="10"/>
            <color theme="1"/>
            <rFont val="Calibri"/>
            <family val="2"/>
            <scheme val="minor"/>
          </rPr>
          <t>Up to RM3,000 for total premiums paid for life insurance</t>
        </r>
      </text>
    </comment>
    <comment ref="F16" authorId="0" shapeId="0" xr:uid="{CAA59900-3CB9-463E-B723-4C0B11690BA6}">
      <text>
        <r>
          <rPr>
            <sz val="10"/>
            <color theme="1"/>
            <rFont val="Calibri"/>
            <family val="2"/>
            <scheme val="minor"/>
          </rPr>
          <t xml:space="preserve">Up to RM3,000 for private retirement scheme and deferred annuity (PRS) approved by the Securities Commission </t>
        </r>
      </text>
    </comment>
    <comment ref="F17" authorId="0" shapeId="0" xr:uid="{C6F271B2-5BF1-4270-B653-57F6CB1144CB}">
      <text>
        <r>
          <rPr>
            <sz val="10"/>
            <color theme="1"/>
            <rFont val="Calibri"/>
            <family val="2"/>
            <scheme val="minor"/>
          </rPr>
          <t>Up to RM3,000 for total premiums paid for medical and education insurance</t>
        </r>
      </text>
    </comment>
    <comment ref="C21" authorId="0" shapeId="0" xr:uid="{80BF783A-1936-40B2-8992-83EBC7313E10}">
      <text>
        <r>
          <rPr>
            <sz val="10"/>
            <color theme="1"/>
            <rFont val="Calibri"/>
            <family val="2"/>
            <scheme val="minor"/>
          </rPr>
          <t>Up to RM2,500 for personal computer, smartphone or tablet for self, spouse or child 
**Additional deduction which applicable for purchases made within the period of 1 June 2020 to 31 December 2020</t>
        </r>
      </text>
    </comment>
    <comment ref="C22" authorId="0" shapeId="0" xr:uid="{06A2A187-B130-439C-918E-A767EE5E214A}">
      <text>
        <r>
          <rPr>
            <sz val="10"/>
            <color theme="1"/>
            <rFont val="Calibri"/>
            <family val="2"/>
            <scheme val="minor"/>
          </rPr>
          <t xml:space="preserve">Up to RM2,500 for books and magazines, PC or smartphone, sports equipment or gym membership, internet subscription </t>
        </r>
      </text>
    </comment>
    <comment ref="K22" authorId="0" shapeId="0" xr:uid="{93FD38A7-7D61-43CD-9448-A84C3F04C3F9}">
      <text>
        <r>
          <rPr>
            <sz val="10"/>
            <color theme="1"/>
            <rFont val="Calibri"/>
            <family val="2"/>
            <scheme val="minor"/>
          </rPr>
          <t>Up to RM6,000 for total cost of medical examinations(Max 500) and hospital bills for serious diseases for self, spouse and children (expanded to cover the cost of fertility treatment for married couples)</t>
        </r>
      </text>
    </comment>
    <comment ref="C23" authorId="0" shapeId="0" xr:uid="{DE781815-074D-43C7-904D-CD8146D70AC8}">
      <text>
        <r>
          <rPr>
            <sz val="10"/>
            <color theme="1"/>
            <rFont val="Calibri"/>
            <family val="2"/>
            <scheme val="minor"/>
          </rPr>
          <t>Up to RM7,000 for professional and technical qualification courses or Masters and PHD in any field</t>
        </r>
      </text>
    </comment>
    <comment ref="K23" authorId="0" shapeId="0" xr:uid="{84D7A814-CF9E-4852-B9F2-DACF12E16247}">
      <text>
        <r>
          <rPr>
            <sz val="10"/>
            <color theme="1"/>
            <rFont val="Calibri"/>
            <family val="2"/>
            <scheme val="minor"/>
          </rPr>
          <t>Up to RM5,000 for medical expenses and nursing care for own parents</t>
        </r>
      </text>
    </comment>
    <comment ref="C24" authorId="0" shapeId="0" xr:uid="{602BC035-F443-4851-A784-231D4FBA53AB}">
      <text>
        <r>
          <rPr>
            <sz val="10"/>
            <color theme="1"/>
            <rFont val="Calibri"/>
            <family val="2"/>
            <scheme val="minor"/>
          </rPr>
          <t>Include all children below the age of 18. 
**For children above the age of 18, only include if they are not married and still studying full time, tax relief of RM2,000 for each</t>
        </r>
      </text>
    </comment>
    <comment ref="K24" authorId="0" shapeId="0" xr:uid="{F187A475-8D00-438D-AB29-8DFA096DC625}">
      <text>
        <r>
          <rPr>
            <sz val="10"/>
            <color theme="1"/>
            <rFont val="Calibri"/>
            <family val="2"/>
            <scheme val="minor"/>
          </rPr>
          <t>Up to RM1,500 (Either Parent) / Up to RM3,000 (Both Parent)
**If more than one individual claim this deduction, the amount of deduction has to be equally apportioned according to the number of individuals who claim in respect of the same parent (Father or mother; Father and mother). Each parent annual income does NOT exceed RM24,000.</t>
        </r>
      </text>
    </comment>
    <comment ref="C25" authorId="0" shapeId="0" xr:uid="{7C2D73D2-9331-4E75-8841-E352E3DC95DF}">
      <text>
        <r>
          <rPr>
            <sz val="10"/>
            <color theme="1"/>
            <rFont val="Calibri"/>
            <family val="2"/>
            <scheme val="minor"/>
          </rPr>
          <t>Only include children above the age of 18 that are not married and studying full time for their diploma (locally) or degree (overseas) or higher, additional tax relief of RM8,000 for each</t>
        </r>
      </text>
    </comment>
    <comment ref="K25" authorId="0" shapeId="0" xr:uid="{D949E1FE-FF25-4CC4-A4E2-C03A043815C6}">
      <text>
        <r>
          <rPr>
            <sz val="10"/>
            <color theme="1"/>
            <rFont val="Calibri"/>
            <family val="2"/>
            <scheme val="minor"/>
          </rPr>
          <t>Select number of children that have any disabilities for additional tax relief of RM6,000 for each unmarried child</t>
        </r>
      </text>
    </comment>
    <comment ref="C26" authorId="0" shapeId="0" xr:uid="{EC614A0D-A503-43E1-9A1F-B34691590E17}">
      <text>
        <r>
          <rPr>
            <sz val="10"/>
            <color theme="1"/>
            <rFont val="Calibri"/>
            <family val="2"/>
            <scheme val="minor"/>
          </rPr>
          <t>Up to RM8,000 for net savings with SSPN for your children's higher education with PTPTN</t>
        </r>
      </text>
    </comment>
    <comment ref="K26" authorId="0" shapeId="0" xr:uid="{79E6346A-C30B-4887-BEAF-DA092B726B74}">
      <text>
        <r>
          <rPr>
            <sz val="10"/>
            <color theme="1"/>
            <rFont val="Calibri"/>
            <family val="2"/>
            <scheme val="minor"/>
          </rPr>
          <t>Only include disable children above the age of 18 that are not married and studying full time for their diploma (locally) or degree (overseas) or higher, additional tax relief of RM14,000 for each</t>
        </r>
      </text>
    </comment>
    <comment ref="C27" authorId="0" shapeId="0" xr:uid="{BCD35C33-DD77-44FE-8929-025FFA56C7DB}">
      <text>
        <r>
          <rPr>
            <sz val="10"/>
            <color theme="1"/>
            <rFont val="Calibri"/>
            <family val="2"/>
            <scheme val="minor"/>
          </rPr>
          <t>Up to RM6,000 for cost of basic supporting equipment for disabled individual (self, spouse, child or parent)</t>
        </r>
      </text>
    </comment>
    <comment ref="K27" authorId="0" shapeId="0" xr:uid="{172B3D61-9B5E-4156-88FF-AC64BBC43991}">
      <text>
        <r>
          <rPr>
            <sz val="10"/>
            <color theme="1"/>
            <rFont val="Calibri"/>
            <family val="2"/>
            <scheme val="minor"/>
          </rPr>
          <t>Up to RM1,000 in tax relief for breastfeeding equipment costs (applicable to working women with child aged up to 2 years and can be claimed once every 2 years)</t>
        </r>
      </text>
    </comment>
    <comment ref="C28" authorId="0" shapeId="0" xr:uid="{7B5C47E8-9389-4F24-8EF0-BCCCB1CA27BE}">
      <text>
        <r>
          <rPr>
            <sz val="10"/>
            <color theme="1"/>
            <rFont val="Calibri"/>
            <family val="2"/>
            <scheme val="minor"/>
          </rPr>
          <t>Up to RM3,000 in tax relief for child care cost and kindergarten enrolment</t>
        </r>
      </text>
    </comment>
    <comment ref="C29" authorId="0" shapeId="0" xr:uid="{C7F5D360-D806-47CC-AD92-78784CABD0FF}">
      <text>
        <r>
          <rPr>
            <sz val="10"/>
            <color theme="1"/>
            <rFont val="Calibri"/>
            <family val="2"/>
            <scheme val="minor"/>
          </rPr>
          <t xml:space="preserve">Up to RM1,000 for accomodation expenses at premises registered with the Ministry of Tourism, Arts and Culture Malaysia and entrance fees to tourists attractions incurred on or after 1st March 2020
</t>
        </r>
      </text>
    </comment>
  </commentList>
</comments>
</file>

<file path=xl/sharedStrings.xml><?xml version="1.0" encoding="utf-8"?>
<sst xmlns="http://schemas.openxmlformats.org/spreadsheetml/2006/main" count="146" uniqueCount="46">
  <si>
    <t>Income Tax Form</t>
  </si>
  <si>
    <t xml:space="preserve">Summary Details </t>
  </si>
  <si>
    <t>RM</t>
  </si>
  <si>
    <t>Tax Relief Items</t>
  </si>
  <si>
    <t>Family Details</t>
  </si>
  <si>
    <t>Medical Details</t>
  </si>
  <si>
    <t>Yes</t>
  </si>
  <si>
    <t>No</t>
  </si>
  <si>
    <t xml:space="preserve">Gross Income :  </t>
  </si>
  <si>
    <t xml:space="preserve">Self Relief </t>
  </si>
  <si>
    <t>:</t>
  </si>
  <si>
    <t>Disabled Individual</t>
  </si>
  <si>
    <t>Spouse Relief</t>
  </si>
  <si>
    <t>Disabled Spouse</t>
  </si>
  <si>
    <t>SOCSO</t>
  </si>
  <si>
    <t>EPF Amount</t>
  </si>
  <si>
    <t>Life Insurance Premiums</t>
  </si>
  <si>
    <t>PRS &amp; Deffered Annuity</t>
  </si>
  <si>
    <t>Total Annual Income</t>
  </si>
  <si>
    <t xml:space="preserve">Total Tax Relief </t>
  </si>
  <si>
    <t>Total Chargeable Income</t>
  </si>
  <si>
    <t>Lifestyle Expenses</t>
  </si>
  <si>
    <t>Education Fees For Self</t>
  </si>
  <si>
    <t>Total Number of Children</t>
  </si>
  <si>
    <t>Total SSPN Savings</t>
  </si>
  <si>
    <t>Child Care and Kindergarten Fees</t>
  </si>
  <si>
    <t>Medical or Education Insurance Premiums</t>
  </si>
  <si>
    <t>Parental Care Medical Expenses</t>
  </si>
  <si>
    <t>Parental Care Living Fee</t>
  </si>
  <si>
    <t>Disabled Children</t>
  </si>
  <si>
    <t>Disabled Children in Higher Education</t>
  </si>
  <si>
    <t>Purchase of Breastfeeding Equipment</t>
  </si>
  <si>
    <t xml:space="preserve"> Net Tax Payable</t>
  </si>
  <si>
    <t xml:space="preserve">Domestic Travel Expenses </t>
  </si>
  <si>
    <t xml:space="preserve">Lifestyle Expenses (Tech) </t>
  </si>
  <si>
    <t>No.of Children in Higher Education</t>
  </si>
  <si>
    <t>Purchase of Supporting Equipment</t>
  </si>
  <si>
    <t>Family Medical Examinations and Expenses</t>
  </si>
  <si>
    <t>Mother</t>
  </si>
  <si>
    <t>Both</t>
  </si>
  <si>
    <t>N/A</t>
  </si>
  <si>
    <t>Father</t>
  </si>
  <si>
    <t>IC (Last 4 digit):</t>
  </si>
  <si>
    <t>XXXX</t>
  </si>
  <si>
    <t>0528</t>
  </si>
  <si>
    <t>***Fill in the blanks with numbers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</si>
</sst>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3F3F3F"/>
      <name val="Calibri"/>
      <family val="2"/>
      <scheme val="minor"/>
    </font>
    <font>
      <sz val="12"/>
      <color theme="1"/>
      <name val="Calibri"/>
      <family val="2"/>
      <scheme val="minor"/>
    </font>
    <font>
      <sz val="16"/>
      <color theme="1"/>
      <name val="Calibri"/>
      <family val="2"/>
      <scheme val="minor"/>
    </font>
    <font>
      <sz val="22"/>
      <color theme="0"/>
      <name val="Bahnschrift SemiLight"/>
      <family val="2"/>
    </font>
    <font>
      <sz val="12"/>
      <color theme="1"/>
      <name val="Bahnschrift SemiLight"/>
      <family val="2"/>
    </font>
    <font>
      <b/>
      <sz val="12"/>
      <color rgb="FF3F3F3F"/>
      <name val="Bahnschrift SemiLight"/>
      <family val="2"/>
    </font>
    <font>
      <sz val="16"/>
      <color theme="0"/>
      <name val="Bahnschrift SemiLight"/>
      <family val="2"/>
    </font>
    <font>
      <sz val="12"/>
      <name val="Bahnschrift SemiLight"/>
      <family val="2"/>
    </font>
    <font>
      <sz val="15"/>
      <color theme="1" tint="0.34998626667073579"/>
      <name val="Bahnschrift SemiLight"/>
      <family val="2"/>
    </font>
    <font>
      <b/>
      <sz val="15"/>
      <color rgb="FF3F3F3F"/>
      <name val="Bahnschrift Light"/>
      <family val="2"/>
    </font>
    <font>
      <sz val="10"/>
      <color theme="1"/>
      <name val="Calibri"/>
      <family val="2"/>
      <scheme val="minor"/>
    </font>
    <font>
      <b/>
      <sz val="12"/>
      <color theme="1"/>
      <name val="Bahnschrift SemiLight"/>
      <family val="2"/>
    </font>
    <font>
      <sz val="11"/>
      <color theme="0"/>
      <name val="Calibri"/>
      <family val="2"/>
      <scheme val="minor"/>
    </font>
    <font>
      <b/>
      <sz val="12"/>
      <color theme="0"/>
      <name val="Calibri"/>
      <family val="2"/>
      <scheme val="minor"/>
    </font>
  </fonts>
  <fills count="6">
    <fill>
      <patternFill patternType="none"/>
    </fill>
    <fill>
      <patternFill patternType="gray125"/>
    </fill>
    <fill>
      <patternFill patternType="solid">
        <fgColor rgb="FFF2F2F2"/>
      </patternFill>
    </fill>
    <fill>
      <patternFill patternType="solid">
        <fgColor theme="8" tint="0.59996337778862885"/>
        <bgColor indexed="64"/>
      </patternFill>
    </fill>
    <fill>
      <patternFill patternType="solid">
        <fgColor theme="8" tint="-0.24994659260841701"/>
        <bgColor indexed="64"/>
      </patternFill>
    </fill>
    <fill>
      <patternFill patternType="solid">
        <fgColor theme="8" tint="0.59999389629810485"/>
        <bgColor indexed="64"/>
      </patternFill>
    </fill>
  </fills>
  <borders count="9">
    <border>
      <left/>
      <right/>
      <top/>
      <bottom/>
      <diagonal/>
    </border>
    <border>
      <left style="thin">
        <color rgb="FF3F3F3F"/>
      </left>
      <right style="thin">
        <color rgb="FF3F3F3F"/>
      </right>
      <top style="thin">
        <color rgb="FF3F3F3F"/>
      </top>
      <bottom style="thin">
        <color rgb="FF3F3F3F"/>
      </bottom>
      <diagonal/>
    </border>
    <border>
      <left/>
      <right style="thin">
        <color rgb="FF3F3F3F"/>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right/>
      <top/>
      <bottom style="thin">
        <color indexed="64"/>
      </bottom>
      <diagonal/>
    </border>
  </borders>
  <cellStyleXfs count="2">
    <xf numFmtId="0" fontId="0" fillId="0" borderId="0"/>
    <xf numFmtId="0" fontId="1" fillId="2" borderId="1" applyNumberFormat="0" applyAlignment="0" applyProtection="0"/>
  </cellStyleXfs>
  <cellXfs count="62">
    <xf numFmtId="0" fontId="0" fillId="0" borderId="0" xfId="0"/>
    <xf numFmtId="0" fontId="2" fillId="0" borderId="0" xfId="0" applyFont="1"/>
    <xf numFmtId="0" fontId="3" fillId="0" borderId="0" xfId="0" applyFont="1" applyAlignment="1">
      <alignment horizontal="center"/>
    </xf>
    <xf numFmtId="0" fontId="5" fillId="3" borderId="0" xfId="0" applyFont="1" applyFill="1"/>
    <xf numFmtId="0" fontId="5" fillId="3" borderId="0" xfId="0" applyFont="1" applyFill="1" applyAlignment="1">
      <alignment horizontal="right"/>
    </xf>
    <xf numFmtId="0" fontId="5" fillId="3" borderId="0" xfId="0" applyFont="1" applyFill="1" applyAlignment="1"/>
    <xf numFmtId="0" fontId="0" fillId="5" borderId="0" xfId="0" applyFill="1"/>
    <xf numFmtId="0" fontId="8" fillId="3" borderId="0" xfId="0" applyFont="1" applyFill="1"/>
    <xf numFmtId="0" fontId="5" fillId="3" borderId="0" xfId="0" applyFont="1" applyFill="1" applyAlignment="1"/>
    <xf numFmtId="0" fontId="5" fillId="3" borderId="0" xfId="0" applyFont="1" applyFill="1" applyAlignment="1">
      <alignment horizontal="left"/>
    </xf>
    <xf numFmtId="0" fontId="5" fillId="3" borderId="2" xfId="0" applyFont="1" applyFill="1" applyBorder="1" applyAlignment="1"/>
    <xf numFmtId="0" fontId="5" fillId="0" borderId="0" xfId="0" applyFont="1" applyFill="1" applyAlignment="1"/>
    <xf numFmtId="0" fontId="0" fillId="0" borderId="0" xfId="0" applyFill="1"/>
    <xf numFmtId="0" fontId="5" fillId="0" borderId="0" xfId="0" applyFont="1" applyFill="1"/>
    <xf numFmtId="0" fontId="5" fillId="5" borderId="0" xfId="0" applyFont="1" applyFill="1" applyAlignment="1"/>
    <xf numFmtId="0" fontId="5" fillId="3" borderId="0" xfId="0" applyFont="1" applyFill="1" applyAlignment="1">
      <alignment horizontal="right"/>
    </xf>
    <xf numFmtId="0" fontId="5" fillId="3" borderId="0" xfId="0" applyFont="1" applyFill="1" applyAlignment="1"/>
    <xf numFmtId="0" fontId="5" fillId="3" borderId="6" xfId="0" applyFont="1" applyFill="1" applyBorder="1" applyAlignment="1"/>
    <xf numFmtId="0" fontId="6" fillId="2" borderId="1" xfId="1" applyFont="1" applyAlignment="1" applyProtection="1">
      <protection hidden="1"/>
    </xf>
    <xf numFmtId="0" fontId="5" fillId="3" borderId="0" xfId="0" applyFont="1" applyFill="1" applyAlignment="1"/>
    <xf numFmtId="0" fontId="5" fillId="3" borderId="0" xfId="0" applyFont="1" applyFill="1" applyAlignment="1">
      <alignment horizontal="left"/>
    </xf>
    <xf numFmtId="0" fontId="5" fillId="3" borderId="0" xfId="0" applyFont="1" applyFill="1" applyAlignment="1">
      <alignment horizontal="center"/>
    </xf>
    <xf numFmtId="0" fontId="5" fillId="3" borderId="0" xfId="0" applyFont="1" applyFill="1" applyAlignment="1">
      <alignment horizontal="right"/>
    </xf>
    <xf numFmtId="0" fontId="6" fillId="2" borderId="3" xfId="1" applyFont="1" applyBorder="1" applyAlignment="1" applyProtection="1">
      <alignment horizontal="left"/>
      <protection locked="0"/>
    </xf>
    <xf numFmtId="0" fontId="2" fillId="0" borderId="0" xfId="0" quotePrefix="1" applyFont="1"/>
    <xf numFmtId="0" fontId="13" fillId="0" borderId="0" xfId="0" applyFont="1" applyFill="1" applyBorder="1" applyProtection="1"/>
    <xf numFmtId="0" fontId="14" fillId="0" borderId="0" xfId="0" applyFont="1" applyBorder="1"/>
    <xf numFmtId="0" fontId="6" fillId="2" borderId="3" xfId="1" applyFont="1" applyBorder="1" applyAlignment="1" applyProtection="1">
      <alignment horizontal="right"/>
      <protection locked="0"/>
    </xf>
    <xf numFmtId="0" fontId="6" fillId="2" borderId="4" xfId="1" applyFont="1" applyBorder="1" applyAlignment="1" applyProtection="1">
      <alignment horizontal="right"/>
      <protection locked="0"/>
    </xf>
    <xf numFmtId="0" fontId="6" fillId="2" borderId="7" xfId="1" applyFont="1" applyBorder="1" applyAlignment="1" applyProtection="1">
      <alignment horizontal="right"/>
      <protection locked="0"/>
    </xf>
    <xf numFmtId="0" fontId="6" fillId="2" borderId="5" xfId="1" applyFont="1" applyBorder="1" applyAlignment="1" applyProtection="1">
      <alignment horizontal="right"/>
      <protection locked="0"/>
    </xf>
    <xf numFmtId="0" fontId="5" fillId="3" borderId="0" xfId="0" applyFont="1" applyFill="1" applyAlignment="1"/>
    <xf numFmtId="0" fontId="5" fillId="3" borderId="0" xfId="0" applyFont="1" applyFill="1" applyAlignment="1">
      <alignment horizontal="left"/>
    </xf>
    <xf numFmtId="0" fontId="6" fillId="2" borderId="4" xfId="1" applyFont="1" applyBorder="1" applyAlignment="1" applyProtection="1">
      <protection hidden="1"/>
    </xf>
    <xf numFmtId="0" fontId="6" fillId="2" borderId="5" xfId="1" applyFont="1" applyBorder="1" applyAlignment="1" applyProtection="1">
      <protection hidden="1"/>
    </xf>
    <xf numFmtId="0" fontId="6" fillId="2" borderId="3" xfId="1" applyFont="1" applyBorder="1" applyAlignment="1" applyProtection="1">
      <protection hidden="1"/>
    </xf>
    <xf numFmtId="49" fontId="6" fillId="2" borderId="4" xfId="1" applyNumberFormat="1" applyFont="1" applyBorder="1" applyAlignment="1" applyProtection="1">
      <alignment horizontal="center"/>
      <protection locked="0"/>
    </xf>
    <xf numFmtId="49" fontId="6" fillId="2" borderId="5" xfId="1" applyNumberFormat="1" applyFont="1" applyBorder="1" applyAlignment="1" applyProtection="1">
      <alignment horizontal="center"/>
      <protection locked="0"/>
    </xf>
    <xf numFmtId="0" fontId="10" fillId="2" borderId="1" xfId="1" applyFont="1" applyAlignment="1" applyProtection="1">
      <alignment horizontal="center" vertical="center"/>
      <protection hidden="1"/>
    </xf>
    <xf numFmtId="0" fontId="6" fillId="2" borderId="4" xfId="1" applyFont="1" applyBorder="1" applyAlignment="1" applyProtection="1">
      <alignment horizontal="right"/>
    </xf>
    <xf numFmtId="0" fontId="6" fillId="2" borderId="7" xfId="1" applyFont="1" applyBorder="1" applyAlignment="1" applyProtection="1">
      <alignment horizontal="right"/>
    </xf>
    <xf numFmtId="0" fontId="6" fillId="2" borderId="5" xfId="1" applyFont="1" applyBorder="1" applyAlignment="1" applyProtection="1">
      <alignment horizontal="right"/>
    </xf>
    <xf numFmtId="0" fontId="6" fillId="2" borderId="4" xfId="1" applyFont="1" applyBorder="1" applyAlignment="1" applyProtection="1">
      <protection locked="0"/>
    </xf>
    <xf numFmtId="0" fontId="6" fillId="2" borderId="7" xfId="1" applyFont="1" applyBorder="1" applyAlignment="1" applyProtection="1">
      <protection locked="0"/>
    </xf>
    <xf numFmtId="0" fontId="6" fillId="2" borderId="5" xfId="1" applyFont="1" applyBorder="1" applyAlignment="1" applyProtection="1">
      <protection locked="0"/>
    </xf>
    <xf numFmtId="0" fontId="9" fillId="3" borderId="0" xfId="0" applyFont="1" applyFill="1" applyBorder="1" applyAlignment="1">
      <alignment horizontal="center" readingOrder="1"/>
    </xf>
    <xf numFmtId="0" fontId="9" fillId="3" borderId="2" xfId="0" applyFont="1" applyFill="1" applyBorder="1" applyAlignment="1">
      <alignment horizontal="right" vertical="center"/>
    </xf>
    <xf numFmtId="0" fontId="5" fillId="3" borderId="0" xfId="0" applyFont="1" applyFill="1" applyAlignment="1">
      <alignment horizontal="center"/>
    </xf>
    <xf numFmtId="0" fontId="5" fillId="3" borderId="0" xfId="0" applyFont="1" applyFill="1" applyAlignment="1">
      <alignment horizontal="right"/>
    </xf>
    <xf numFmtId="0" fontId="7" fillId="4" borderId="0" xfId="0" applyFont="1" applyFill="1" applyAlignment="1">
      <alignment horizontal="center"/>
    </xf>
    <xf numFmtId="0" fontId="6" fillId="2" borderId="3" xfId="1" applyFont="1" applyBorder="1" applyAlignment="1" applyProtection="1">
      <alignment horizontal="center"/>
      <protection locked="0"/>
    </xf>
    <xf numFmtId="0" fontId="12" fillId="3" borderId="0" xfId="0" applyFont="1" applyFill="1"/>
    <xf numFmtId="0" fontId="6" fillId="2" borderId="4" xfId="1" applyFont="1" applyBorder="1" applyAlignment="1">
      <alignment horizontal="right"/>
    </xf>
    <xf numFmtId="0" fontId="6" fillId="2" borderId="7" xfId="1" applyFont="1" applyBorder="1" applyAlignment="1">
      <alignment horizontal="right"/>
    </xf>
    <xf numFmtId="0" fontId="6" fillId="2" borderId="5" xfId="1" applyFont="1" applyBorder="1" applyAlignment="1">
      <alignment horizontal="right"/>
    </xf>
    <xf numFmtId="0" fontId="5" fillId="3" borderId="6" xfId="0" applyFont="1" applyFill="1" applyBorder="1" applyAlignment="1">
      <alignment horizontal="center"/>
    </xf>
    <xf numFmtId="0" fontId="5" fillId="3" borderId="0" xfId="0" applyFont="1" applyFill="1" applyBorder="1" applyAlignment="1">
      <alignment horizontal="center"/>
    </xf>
    <xf numFmtId="0" fontId="12" fillId="0" borderId="0" xfId="0" applyFont="1" applyFill="1" applyAlignment="1">
      <alignment vertical="center"/>
    </xf>
    <xf numFmtId="0" fontId="4" fillId="4" borderId="0" xfId="0" applyFont="1" applyFill="1" applyAlignment="1">
      <alignment horizontal="center"/>
    </xf>
    <xf numFmtId="0" fontId="5" fillId="3" borderId="8" xfId="0" applyFont="1" applyFill="1" applyBorder="1" applyAlignment="1">
      <alignment horizontal="right"/>
    </xf>
    <xf numFmtId="0" fontId="6" fillId="2" borderId="3" xfId="1" applyFont="1" applyBorder="1" applyAlignment="1" applyProtection="1">
      <alignment horizontal="right"/>
      <protection hidden="1"/>
    </xf>
    <xf numFmtId="0" fontId="6" fillId="2" borderId="3" xfId="1" applyFont="1" applyBorder="1" applyAlignment="1" applyProtection="1">
      <alignment horizontal="right"/>
      <protection locked="0" hidden="1"/>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Spin" dx="31" fmlaLink="$H$24" max="18" page="10" val="0"/>
</file>

<file path=xl/ctrlProps/ctrlProp2.xml><?xml version="1.0" encoding="utf-8"?>
<formControlPr xmlns="http://schemas.microsoft.com/office/spreadsheetml/2009/9/main" objectType="Spin" dx="31" fmlaLink="$H$25" max="18" page="10" val="0"/>
</file>

<file path=xl/ctrlProps/ctrlProp3.xml><?xml version="1.0" encoding="utf-8"?>
<formControlPr xmlns="http://schemas.microsoft.com/office/spreadsheetml/2009/9/main" objectType="Spin" dx="31" fmlaLink="$H$25" max="18" page="10" val="0"/>
</file>

<file path=xl/ctrlProps/ctrlProp4.xml><?xml version="1.0" encoding="utf-8"?>
<formControlPr xmlns="http://schemas.microsoft.com/office/spreadsheetml/2009/9/main" objectType="Spin" dx="31" fmlaLink="$H$25" max="18" page="10" val="0"/>
</file>

<file path=xl/ctrlProps/ctrlProp5.xml><?xml version="1.0" encoding="utf-8"?>
<formControlPr xmlns="http://schemas.microsoft.com/office/spreadsheetml/2009/9/main" objectType="Spin" dx="31" fmlaLink="$Q$26" max="18" page="10" val="0"/>
</file>

<file path=xl/ctrlProps/ctrlProp6.xml><?xml version="1.0" encoding="utf-8"?>
<formControlPr xmlns="http://schemas.microsoft.com/office/spreadsheetml/2009/9/main" objectType="Spin" dx="31" fmlaLink="$H$25" max="18" page="10" val="0"/>
</file>

<file path=xl/ctrlProps/ctrlProp7.xml><?xml version="1.0" encoding="utf-8"?>
<formControlPr xmlns="http://schemas.microsoft.com/office/spreadsheetml/2009/9/main" objectType="Spin" dx="31" fmlaLink="$Q$25" max="18" page="10" val="0"/>
</file>

<file path=xl/ctrlProps/ctrlProp8.xml><?xml version="1.0" encoding="utf-8"?>
<formControlPr xmlns="http://schemas.microsoft.com/office/spreadsheetml/2009/9/main" objectType="Spin" dx="31" fmlaLink="$H$25" max="18" page="10" val="0"/>
</file>

<file path=xl/ctrlProps/ctrlProp9.xml><?xml version="1.0" encoding="utf-8"?>
<formControlPr xmlns="http://schemas.microsoft.com/office/spreadsheetml/2009/9/main" objectType="Spin" dx="31" fmlaLink="$Q$25" max="18" page="10" val="0"/>
</file>

<file path=xl/ctrlProps/ctrlProp10.xml><?xml version="1.0" encoding="utf-8"?>
<formControlPr xmlns="http://schemas.microsoft.com/office/spreadsheetml/2009/9/main" objectType="Spin" dx="31" fmlaLink="$H$25" max="18" page="10" val="0"/>
</file>

<file path=xl/ctrlProps/ctrlProp11.xml><?xml version="1.0" encoding="utf-8"?>
<formControlPr xmlns="http://schemas.microsoft.com/office/spreadsheetml/2009/9/main" objectType="Spin" dx="31" fmlaLink="$H$24" max="18" page="10" val="0"/>
</file>

<file path=xl/ctrlProps/ctrlProp12.xml><?xml version="1.0" encoding="utf-8"?>
<formControlPr xmlns="http://schemas.microsoft.com/office/spreadsheetml/2009/9/main" objectType="Spin" dx="31" fmlaLink="$H$24" max="18" page="10"/>
</file>

<file path=xl/ctrlProps/ctrlProp13.xml><?xml version="1.0" encoding="utf-8"?>
<formControlPr xmlns="http://schemas.microsoft.com/office/spreadsheetml/2009/9/main" objectType="Spin" dx="31" fmlaLink="$H$25" max="18" page="10"/>
</file>

<file path=xl/ctrlProps/ctrlProp14.xml><?xml version="1.0" encoding="utf-8"?>
<formControlPr xmlns="http://schemas.microsoft.com/office/spreadsheetml/2009/9/main" objectType="Spin" dx="31" fmlaLink="$H$25" max="18" page="10"/>
</file>

<file path=xl/ctrlProps/ctrlProp15.xml><?xml version="1.0" encoding="utf-8"?>
<formControlPr xmlns="http://schemas.microsoft.com/office/spreadsheetml/2009/9/main" objectType="Spin" dx="31" fmlaLink="$H$25" max="18" page="10"/>
</file>

<file path=xl/ctrlProps/ctrlProp16.xml><?xml version="1.0" encoding="utf-8"?>
<formControlPr xmlns="http://schemas.microsoft.com/office/spreadsheetml/2009/9/main" objectType="Spin" dx="31" fmlaLink="$Q$26" max="18" page="10" val="0"/>
</file>

<file path=xl/ctrlProps/ctrlProp17.xml><?xml version="1.0" encoding="utf-8"?>
<formControlPr xmlns="http://schemas.microsoft.com/office/spreadsheetml/2009/9/main" objectType="Spin" dx="31" fmlaLink="$H$25" max="18" page="10"/>
</file>

<file path=xl/ctrlProps/ctrlProp18.xml><?xml version="1.0" encoding="utf-8"?>
<formControlPr xmlns="http://schemas.microsoft.com/office/spreadsheetml/2009/9/main" objectType="Spin" dx="31" fmlaLink="$Q$25" max="18" page="10" val="0"/>
</file>

<file path=xl/ctrlProps/ctrlProp19.xml><?xml version="1.0" encoding="utf-8"?>
<formControlPr xmlns="http://schemas.microsoft.com/office/spreadsheetml/2009/9/main" objectType="Spin" dx="31" fmlaLink="$H$25" max="18" page="10"/>
</file>

<file path=xl/ctrlProps/ctrlProp20.xml><?xml version="1.0" encoding="utf-8"?>
<formControlPr xmlns="http://schemas.microsoft.com/office/spreadsheetml/2009/9/main" objectType="Spin" dx="31" fmlaLink="$Q$25" max="18" page="10" val="0"/>
</file>

<file path=xl/ctrlProps/ctrlProp21.xml><?xml version="1.0" encoding="utf-8"?>
<formControlPr xmlns="http://schemas.microsoft.com/office/spreadsheetml/2009/9/main" objectType="Spin" dx="31" fmlaLink="$H$25" max="18" page="10"/>
</file>

<file path=xl/ctrlProps/ctrlProp22.xml><?xml version="1.0" encoding="utf-8"?>
<formControlPr xmlns="http://schemas.microsoft.com/office/spreadsheetml/2009/9/main" objectType="Spin" dx="31" fmlaLink="$H$24" max="18" page="10"/>
</file>

<file path=xl/drawings/_rels/drawing1.xml.rels><?xml version="1.0" encoding="UTF-8" standalone="yes"?>
<Relationships xmlns="http://schemas.openxmlformats.org/package/2006/relationships"><Relationship Id="rId1" Type="http://schemas.openxmlformats.org/officeDocument/2006/relationships/image" Target="../media/image7.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2</xdr:col>
      <xdr:colOff>989006</xdr:colOff>
      <xdr:row>1</xdr:row>
      <xdr:rowOff>3137</xdr:rowOff>
    </xdr:from>
    <xdr:to>
      <xdr:col>4</xdr:col>
      <xdr:colOff>55162</xdr:colOff>
      <xdr:row>2</xdr:row>
      <xdr:rowOff>243738</xdr:rowOff>
    </xdr:to>
    <xdr:pic>
      <xdr:nvPicPr>
        <xdr:cNvPr id="3" name="Picture 2" descr="logolhdn">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8062" y="264193"/>
          <a:ext cx="660711" cy="515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6350</xdr:colOff>
          <xdr:row>9</xdr:row>
          <xdr:rowOff>6350</xdr:rowOff>
        </xdr:from>
        <xdr:to>
          <xdr:col>12</xdr:col>
          <xdr:colOff>323850</xdr:colOff>
          <xdr:row>9</xdr:row>
          <xdr:rowOff>254000</xdr:rowOff>
        </xdr:to>
        <xdr:sp macro="" textlink="">
          <xdr:nvSpPr>
            <xdr:cNvPr id="1029" name="yesNo_cmb"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6350</xdr:colOff>
          <xdr:row>9</xdr:row>
          <xdr:rowOff>254000</xdr:rowOff>
        </xdr:from>
        <xdr:to>
          <xdr:col>12</xdr:col>
          <xdr:colOff>323850</xdr:colOff>
          <xdr:row>11</xdr:row>
          <xdr:rowOff>0</xdr:rowOff>
        </xdr:to>
        <xdr:sp macro="" textlink="">
          <xdr:nvSpPr>
            <xdr:cNvPr id="1039" name="yesNo_cmb2"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6350</xdr:colOff>
          <xdr:row>11</xdr:row>
          <xdr:rowOff>0</xdr:rowOff>
        </xdr:from>
        <xdr:to>
          <xdr:col>12</xdr:col>
          <xdr:colOff>330200</xdr:colOff>
          <xdr:row>12</xdr:row>
          <xdr:rowOff>0</xdr:rowOff>
        </xdr:to>
        <xdr:sp macro="" textlink="">
          <xdr:nvSpPr>
            <xdr:cNvPr id="1040" name="yesNo_cmb3"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431800</xdr:colOff>
          <xdr:row>33</xdr:row>
          <xdr:rowOff>50800</xdr:rowOff>
        </xdr:from>
        <xdr:to>
          <xdr:col>12</xdr:col>
          <xdr:colOff>552450</xdr:colOff>
          <xdr:row>35</xdr:row>
          <xdr:rowOff>12700</xdr:rowOff>
        </xdr:to>
        <xdr:sp macro="" textlink="">
          <xdr:nvSpPr>
            <xdr:cNvPr id="1041" name="btnCalculate"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23</xdr:row>
          <xdr:rowOff>12700</xdr:rowOff>
        </xdr:from>
        <xdr:to>
          <xdr:col>8</xdr:col>
          <xdr:colOff>6350</xdr:colOff>
          <xdr:row>23</xdr:row>
          <xdr:rowOff>260350</xdr:rowOff>
        </xdr:to>
        <xdr:sp macro="" textlink="">
          <xdr:nvSpPr>
            <xdr:cNvPr id="1081" name="Spinner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24</xdr:row>
          <xdr:rowOff>12700</xdr:rowOff>
        </xdr:from>
        <xdr:to>
          <xdr:col>8</xdr:col>
          <xdr:colOff>6350</xdr:colOff>
          <xdr:row>25</xdr:row>
          <xdr:rowOff>0</xdr:rowOff>
        </xdr:to>
        <xdr:sp macro="" textlink="">
          <xdr:nvSpPr>
            <xdr:cNvPr id="1082" name="Spinner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24</xdr:row>
          <xdr:rowOff>12700</xdr:rowOff>
        </xdr:from>
        <xdr:to>
          <xdr:col>8</xdr:col>
          <xdr:colOff>6350</xdr:colOff>
          <xdr:row>24</xdr:row>
          <xdr:rowOff>260350</xdr:rowOff>
        </xdr:to>
        <xdr:sp macro="" textlink="">
          <xdr:nvSpPr>
            <xdr:cNvPr id="1083" name="Spinner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25</xdr:row>
          <xdr:rowOff>12700</xdr:rowOff>
        </xdr:from>
        <xdr:to>
          <xdr:col>17</xdr:col>
          <xdr:colOff>6350</xdr:colOff>
          <xdr:row>26</xdr:row>
          <xdr:rowOff>0</xdr:rowOff>
        </xdr:to>
        <xdr:sp macro="" textlink="">
          <xdr:nvSpPr>
            <xdr:cNvPr id="1084" name="Spinner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25</xdr:row>
          <xdr:rowOff>12700</xdr:rowOff>
        </xdr:from>
        <xdr:to>
          <xdr:col>17</xdr:col>
          <xdr:colOff>6350</xdr:colOff>
          <xdr:row>25</xdr:row>
          <xdr:rowOff>260350</xdr:rowOff>
        </xdr:to>
        <xdr:sp macro="" textlink="">
          <xdr:nvSpPr>
            <xdr:cNvPr id="1085" name="Spinner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24</xdr:row>
          <xdr:rowOff>12700</xdr:rowOff>
        </xdr:from>
        <xdr:to>
          <xdr:col>17</xdr:col>
          <xdr:colOff>6350</xdr:colOff>
          <xdr:row>25</xdr:row>
          <xdr:rowOff>0</xdr:rowOff>
        </xdr:to>
        <xdr:sp macro="" textlink="">
          <xdr:nvSpPr>
            <xdr:cNvPr id="1086" name="Spinner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24</xdr:row>
          <xdr:rowOff>12700</xdr:rowOff>
        </xdr:from>
        <xdr:to>
          <xdr:col>17</xdr:col>
          <xdr:colOff>6350</xdr:colOff>
          <xdr:row>24</xdr:row>
          <xdr:rowOff>260350</xdr:rowOff>
        </xdr:to>
        <xdr:sp macro="" textlink="">
          <xdr:nvSpPr>
            <xdr:cNvPr id="1087" name="Spinner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24</xdr:row>
          <xdr:rowOff>12700</xdr:rowOff>
        </xdr:from>
        <xdr:to>
          <xdr:col>17</xdr:col>
          <xdr:colOff>6350</xdr:colOff>
          <xdr:row>25</xdr:row>
          <xdr:rowOff>0</xdr:rowOff>
        </xdr:to>
        <xdr:sp macro="" textlink="">
          <xdr:nvSpPr>
            <xdr:cNvPr id="1088" name="Spinner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24</xdr:row>
          <xdr:rowOff>12700</xdr:rowOff>
        </xdr:from>
        <xdr:to>
          <xdr:col>17</xdr:col>
          <xdr:colOff>6350</xdr:colOff>
          <xdr:row>24</xdr:row>
          <xdr:rowOff>260350</xdr:rowOff>
        </xdr:to>
        <xdr:sp macro="" textlink="">
          <xdr:nvSpPr>
            <xdr:cNvPr id="1089" name="Spinner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6350</xdr:colOff>
          <xdr:row>23</xdr:row>
          <xdr:rowOff>12700</xdr:rowOff>
        </xdr:from>
        <xdr:to>
          <xdr:col>17</xdr:col>
          <xdr:colOff>133350</xdr:colOff>
          <xdr:row>24</xdr:row>
          <xdr:rowOff>6350</xdr:rowOff>
        </xdr:to>
        <xdr:sp macro="" textlink="">
          <xdr:nvSpPr>
            <xdr:cNvPr id="1092" name="ComboBox1"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88900</xdr:colOff>
          <xdr:row>31</xdr:row>
          <xdr:rowOff>139700</xdr:rowOff>
        </xdr:from>
        <xdr:to>
          <xdr:col>12</xdr:col>
          <xdr:colOff>273050</xdr:colOff>
          <xdr:row>32</xdr:row>
          <xdr:rowOff>247650</xdr:rowOff>
        </xdr:to>
        <xdr:sp macro="" textlink="">
          <xdr:nvSpPr>
            <xdr:cNvPr id="1093" name="btnClear"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23</xdr:row>
          <xdr:rowOff>12700</xdr:rowOff>
        </xdr:from>
        <xdr:to>
          <xdr:col>8</xdr:col>
          <xdr:colOff>6350</xdr:colOff>
          <xdr:row>24</xdr:row>
          <xdr:rowOff>0</xdr:rowOff>
        </xdr:to>
        <xdr:sp macro="" textlink="">
          <xdr:nvSpPr>
            <xdr:cNvPr id="1096" name="Spinner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23</xdr:row>
          <xdr:rowOff>12700</xdr:rowOff>
        </xdr:from>
        <xdr:to>
          <xdr:col>8</xdr:col>
          <xdr:colOff>6350</xdr:colOff>
          <xdr:row>23</xdr:row>
          <xdr:rowOff>260350</xdr:rowOff>
        </xdr:to>
        <xdr:sp macro="" textlink="">
          <xdr:nvSpPr>
            <xdr:cNvPr id="1097" name="Spinner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989006</xdr:colOff>
      <xdr:row>1</xdr:row>
      <xdr:rowOff>3137</xdr:rowOff>
    </xdr:from>
    <xdr:to>
      <xdr:col>4</xdr:col>
      <xdr:colOff>55162</xdr:colOff>
      <xdr:row>2</xdr:row>
      <xdr:rowOff>243738</xdr:rowOff>
    </xdr:to>
    <xdr:pic>
      <xdr:nvPicPr>
        <xdr:cNvPr id="2" name="Picture 1" descr="logolhd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206" y="612737"/>
          <a:ext cx="666356" cy="5136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6350</xdr:colOff>
          <xdr:row>9</xdr:row>
          <xdr:rowOff>6350</xdr:rowOff>
        </xdr:from>
        <xdr:to>
          <xdr:col>12</xdr:col>
          <xdr:colOff>323850</xdr:colOff>
          <xdr:row>9</xdr:row>
          <xdr:rowOff>254000</xdr:rowOff>
        </xdr:to>
        <xdr:sp macro="" textlink="">
          <xdr:nvSpPr>
            <xdr:cNvPr id="4097" name="yesNo_cmb"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6350</xdr:colOff>
          <xdr:row>9</xdr:row>
          <xdr:rowOff>254000</xdr:rowOff>
        </xdr:from>
        <xdr:to>
          <xdr:col>12</xdr:col>
          <xdr:colOff>323850</xdr:colOff>
          <xdr:row>11</xdr:row>
          <xdr:rowOff>0</xdr:rowOff>
        </xdr:to>
        <xdr:sp macro="" textlink="">
          <xdr:nvSpPr>
            <xdr:cNvPr id="4098" name="yesNo_cmb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6350</xdr:colOff>
          <xdr:row>11</xdr:row>
          <xdr:rowOff>0</xdr:rowOff>
        </xdr:from>
        <xdr:to>
          <xdr:col>12</xdr:col>
          <xdr:colOff>330200</xdr:colOff>
          <xdr:row>12</xdr:row>
          <xdr:rowOff>0</xdr:rowOff>
        </xdr:to>
        <xdr:sp macro="" textlink="">
          <xdr:nvSpPr>
            <xdr:cNvPr id="4099" name="yesNo_cmb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431800</xdr:colOff>
          <xdr:row>33</xdr:row>
          <xdr:rowOff>50800</xdr:rowOff>
        </xdr:from>
        <xdr:to>
          <xdr:col>12</xdr:col>
          <xdr:colOff>552450</xdr:colOff>
          <xdr:row>35</xdr:row>
          <xdr:rowOff>12700</xdr:rowOff>
        </xdr:to>
        <xdr:sp macro="" textlink="">
          <xdr:nvSpPr>
            <xdr:cNvPr id="4100" name="btnCalculate"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23</xdr:row>
          <xdr:rowOff>12700</xdr:rowOff>
        </xdr:from>
        <xdr:to>
          <xdr:col>8</xdr:col>
          <xdr:colOff>6350</xdr:colOff>
          <xdr:row>23</xdr:row>
          <xdr:rowOff>260350</xdr:rowOff>
        </xdr:to>
        <xdr:sp macro="" textlink="">
          <xdr:nvSpPr>
            <xdr:cNvPr id="4101" name="Spinner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24</xdr:row>
          <xdr:rowOff>12700</xdr:rowOff>
        </xdr:from>
        <xdr:to>
          <xdr:col>8</xdr:col>
          <xdr:colOff>6350</xdr:colOff>
          <xdr:row>25</xdr:row>
          <xdr:rowOff>0</xdr:rowOff>
        </xdr:to>
        <xdr:sp macro="" textlink="">
          <xdr:nvSpPr>
            <xdr:cNvPr id="4102" name="Spinner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24</xdr:row>
          <xdr:rowOff>12700</xdr:rowOff>
        </xdr:from>
        <xdr:to>
          <xdr:col>8</xdr:col>
          <xdr:colOff>6350</xdr:colOff>
          <xdr:row>24</xdr:row>
          <xdr:rowOff>260350</xdr:rowOff>
        </xdr:to>
        <xdr:sp macro="" textlink="">
          <xdr:nvSpPr>
            <xdr:cNvPr id="4103" name="Spinner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25</xdr:row>
          <xdr:rowOff>12700</xdr:rowOff>
        </xdr:from>
        <xdr:to>
          <xdr:col>17</xdr:col>
          <xdr:colOff>6350</xdr:colOff>
          <xdr:row>26</xdr:row>
          <xdr:rowOff>0</xdr:rowOff>
        </xdr:to>
        <xdr:sp macro="" textlink="">
          <xdr:nvSpPr>
            <xdr:cNvPr id="4104" name="Spinner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25</xdr:row>
          <xdr:rowOff>12700</xdr:rowOff>
        </xdr:from>
        <xdr:to>
          <xdr:col>17</xdr:col>
          <xdr:colOff>6350</xdr:colOff>
          <xdr:row>25</xdr:row>
          <xdr:rowOff>260350</xdr:rowOff>
        </xdr:to>
        <xdr:sp macro="" textlink="">
          <xdr:nvSpPr>
            <xdr:cNvPr id="4105" name="Spinner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24</xdr:row>
          <xdr:rowOff>12700</xdr:rowOff>
        </xdr:from>
        <xdr:to>
          <xdr:col>17</xdr:col>
          <xdr:colOff>6350</xdr:colOff>
          <xdr:row>25</xdr:row>
          <xdr:rowOff>0</xdr:rowOff>
        </xdr:to>
        <xdr:sp macro="" textlink="">
          <xdr:nvSpPr>
            <xdr:cNvPr id="4106" name="Spinner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24</xdr:row>
          <xdr:rowOff>12700</xdr:rowOff>
        </xdr:from>
        <xdr:to>
          <xdr:col>17</xdr:col>
          <xdr:colOff>6350</xdr:colOff>
          <xdr:row>24</xdr:row>
          <xdr:rowOff>260350</xdr:rowOff>
        </xdr:to>
        <xdr:sp macro="" textlink="">
          <xdr:nvSpPr>
            <xdr:cNvPr id="4107" name="Spinner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24</xdr:row>
          <xdr:rowOff>12700</xdr:rowOff>
        </xdr:from>
        <xdr:to>
          <xdr:col>17</xdr:col>
          <xdr:colOff>6350</xdr:colOff>
          <xdr:row>25</xdr:row>
          <xdr:rowOff>0</xdr:rowOff>
        </xdr:to>
        <xdr:sp macro="" textlink="">
          <xdr:nvSpPr>
            <xdr:cNvPr id="4108" name="Spinner 12"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24</xdr:row>
          <xdr:rowOff>12700</xdr:rowOff>
        </xdr:from>
        <xdr:to>
          <xdr:col>17</xdr:col>
          <xdr:colOff>6350</xdr:colOff>
          <xdr:row>24</xdr:row>
          <xdr:rowOff>260350</xdr:rowOff>
        </xdr:to>
        <xdr:sp macro="" textlink="">
          <xdr:nvSpPr>
            <xdr:cNvPr id="4109" name="Spinner 13"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6350</xdr:colOff>
          <xdr:row>23</xdr:row>
          <xdr:rowOff>12700</xdr:rowOff>
        </xdr:from>
        <xdr:to>
          <xdr:col>17</xdr:col>
          <xdr:colOff>133350</xdr:colOff>
          <xdr:row>24</xdr:row>
          <xdr:rowOff>6350</xdr:rowOff>
        </xdr:to>
        <xdr:sp macro="" textlink="">
          <xdr:nvSpPr>
            <xdr:cNvPr id="4110" name="ComboBox1" hidden="1">
              <a:extLst>
                <a:ext uri="{63B3BB69-23CF-44E3-9099-C40C66FF867C}">
                  <a14:compatExt spid="_x0000_s4110"/>
                </a:ext>
                <a:ext uri="{FF2B5EF4-FFF2-40B4-BE49-F238E27FC236}">
                  <a16:creationId xmlns:a16="http://schemas.microsoft.com/office/drawing/2014/main" id="{00000000-0008-0000-01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88900</xdr:colOff>
          <xdr:row>31</xdr:row>
          <xdr:rowOff>139700</xdr:rowOff>
        </xdr:from>
        <xdr:to>
          <xdr:col>12</xdr:col>
          <xdr:colOff>273050</xdr:colOff>
          <xdr:row>32</xdr:row>
          <xdr:rowOff>247650</xdr:rowOff>
        </xdr:to>
        <xdr:sp macro="" textlink="">
          <xdr:nvSpPr>
            <xdr:cNvPr id="4111" name="btnClear" hidden="1">
              <a:extLst>
                <a:ext uri="{63B3BB69-23CF-44E3-9099-C40C66FF867C}">
                  <a14:compatExt spid="_x0000_s4111"/>
                </a:ext>
                <a:ext uri="{FF2B5EF4-FFF2-40B4-BE49-F238E27FC236}">
                  <a16:creationId xmlns:a16="http://schemas.microsoft.com/office/drawing/2014/main" id="{00000000-0008-0000-01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23</xdr:row>
          <xdr:rowOff>12700</xdr:rowOff>
        </xdr:from>
        <xdr:to>
          <xdr:col>8</xdr:col>
          <xdr:colOff>6350</xdr:colOff>
          <xdr:row>24</xdr:row>
          <xdr:rowOff>0</xdr:rowOff>
        </xdr:to>
        <xdr:sp macro="" textlink="">
          <xdr:nvSpPr>
            <xdr:cNvPr id="4112" name="Spinner 16" hidden="1">
              <a:extLst>
                <a:ext uri="{63B3BB69-23CF-44E3-9099-C40C66FF867C}">
                  <a14:compatExt spid="_x0000_s4112"/>
                </a:ext>
                <a:ext uri="{FF2B5EF4-FFF2-40B4-BE49-F238E27FC236}">
                  <a16:creationId xmlns:a16="http://schemas.microsoft.com/office/drawing/2014/main" id="{00000000-0008-0000-0100-000010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23</xdr:row>
          <xdr:rowOff>12700</xdr:rowOff>
        </xdr:from>
        <xdr:to>
          <xdr:col>8</xdr:col>
          <xdr:colOff>6350</xdr:colOff>
          <xdr:row>23</xdr:row>
          <xdr:rowOff>260350</xdr:rowOff>
        </xdr:to>
        <xdr:sp macro="" textlink="">
          <xdr:nvSpPr>
            <xdr:cNvPr id="4113" name="Spinner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3.xml"/><Relationship Id="rId26" Type="http://schemas.openxmlformats.org/officeDocument/2006/relationships/ctrlProp" Target="../ctrlProps/ctrlProp11.xml"/><Relationship Id="rId3" Type="http://schemas.openxmlformats.org/officeDocument/2006/relationships/vmlDrawing" Target="../drawings/vmlDrawing1.vml"/><Relationship Id="rId21" Type="http://schemas.openxmlformats.org/officeDocument/2006/relationships/ctrlProp" Target="../ctrlProps/ctrlProp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2.xml"/><Relationship Id="rId25" Type="http://schemas.openxmlformats.org/officeDocument/2006/relationships/ctrlProp" Target="../ctrlProps/ctrlProp10.xml"/><Relationship Id="rId2" Type="http://schemas.openxmlformats.org/officeDocument/2006/relationships/drawing" Target="../drawings/drawing1.xml"/><Relationship Id="rId16" Type="http://schemas.openxmlformats.org/officeDocument/2006/relationships/ctrlProp" Target="../ctrlProps/ctrlProp1.xml"/><Relationship Id="rId20"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8.xml"/><Relationship Id="rId10" Type="http://schemas.openxmlformats.org/officeDocument/2006/relationships/control" Target="../activeX/activeX4.xml"/><Relationship Id="rId19"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7.xml"/><Relationship Id="rId2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2.emf"/><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vmlDrawing" Target="../drawings/vmlDrawing2.vml"/><Relationship Id="rId21" Type="http://schemas.openxmlformats.org/officeDocument/2006/relationships/ctrlProp" Target="../ctrlProps/ctrlProp17.xml"/><Relationship Id="rId7" Type="http://schemas.openxmlformats.org/officeDocument/2006/relationships/image" Target="../media/image9.emf"/><Relationship Id="rId12" Type="http://schemas.openxmlformats.org/officeDocument/2006/relationships/control" Target="../activeX/activeX11.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11.emf"/><Relationship Id="rId24" Type="http://schemas.openxmlformats.org/officeDocument/2006/relationships/ctrlProp" Target="../ctrlProps/ctrlProp2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trlProp" Target="../ctrlProps/ctrlProp19.xml"/><Relationship Id="rId10" Type="http://schemas.openxmlformats.org/officeDocument/2006/relationships/control" Target="../activeX/activeX10.xml"/><Relationship Id="rId19" Type="http://schemas.openxmlformats.org/officeDocument/2006/relationships/ctrlProp" Target="../ctrlProps/ctrlProp15.xml"/><Relationship Id="rId4" Type="http://schemas.openxmlformats.org/officeDocument/2006/relationships/control" Target="../activeX/activeX7.xml"/><Relationship Id="rId9" Type="http://schemas.openxmlformats.org/officeDocument/2006/relationships/image" Target="../media/image10.emf"/><Relationship Id="rId14" Type="http://schemas.openxmlformats.org/officeDocument/2006/relationships/control" Target="../activeX/activeX12.xml"/><Relationship Id="rId22" Type="http://schemas.openxmlformats.org/officeDocument/2006/relationships/ctrlProp" Target="../ctrlProps/ctrlProp18.xml"/><Relationship Id="rId27"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92084-39E3-469E-8169-AB8E99533678}">
  <sheetPr codeName="Sheet1"/>
  <dimension ref="B1:U38"/>
  <sheetViews>
    <sheetView zoomScale="85" zoomScaleNormal="85" workbookViewId="0">
      <selection activeCell="L13" sqref="L13:N13"/>
    </sheetView>
  </sheetViews>
  <sheetFormatPr defaultRowHeight="14.5" x14ac:dyDescent="0.35"/>
  <cols>
    <col min="1" max="5" width="8.7265625" customWidth="1"/>
    <col min="6" max="6" width="8.90625" customWidth="1"/>
    <col min="7" max="13" width="8.7265625" customWidth="1"/>
    <col min="14" max="14" width="9.1796875" customWidth="1"/>
    <col min="21" max="21" width="11.36328125" bestFit="1" customWidth="1"/>
  </cols>
  <sheetData>
    <row r="1" spans="2:21" ht="48" customHeight="1" x14ac:dyDescent="0.35">
      <c r="B1" s="57" t="s">
        <v>45</v>
      </c>
      <c r="C1" s="57"/>
      <c r="D1" s="57"/>
      <c r="E1" s="57"/>
      <c r="F1" s="57"/>
      <c r="G1" s="57"/>
      <c r="H1" s="57"/>
      <c r="I1" s="57"/>
      <c r="J1" s="57"/>
      <c r="K1" s="57"/>
      <c r="L1" s="57"/>
      <c r="M1" s="57"/>
      <c r="N1" s="57"/>
      <c r="O1" s="57"/>
      <c r="P1" s="57"/>
      <c r="Q1" s="57"/>
      <c r="R1" s="57"/>
      <c r="S1" s="57"/>
    </row>
    <row r="2" spans="2:21" ht="21.5" customHeight="1" x14ac:dyDescent="0.35">
      <c r="B2" s="58" t="s">
        <v>0</v>
      </c>
      <c r="C2" s="58"/>
      <c r="D2" s="58"/>
      <c r="E2" s="58"/>
      <c r="F2" s="58"/>
      <c r="G2" s="58"/>
      <c r="H2" s="58"/>
      <c r="I2" s="58"/>
      <c r="J2" s="58"/>
      <c r="K2" s="58"/>
      <c r="L2" s="58"/>
      <c r="M2" s="58"/>
      <c r="N2" s="58"/>
      <c r="O2" s="58"/>
      <c r="P2" s="58"/>
      <c r="Q2" s="58"/>
      <c r="R2" s="58"/>
      <c r="S2" s="58"/>
    </row>
    <row r="3" spans="2:21" ht="21.5" customHeight="1" x14ac:dyDescent="0.35">
      <c r="B3" s="58"/>
      <c r="C3" s="58"/>
      <c r="D3" s="58"/>
      <c r="E3" s="58"/>
      <c r="F3" s="58"/>
      <c r="G3" s="58"/>
      <c r="H3" s="58"/>
      <c r="I3" s="58"/>
      <c r="J3" s="58"/>
      <c r="K3" s="58"/>
      <c r="L3" s="58"/>
      <c r="M3" s="58"/>
      <c r="N3" s="58"/>
      <c r="O3" s="58"/>
      <c r="P3" s="58"/>
      <c r="Q3" s="58"/>
      <c r="R3" s="58"/>
      <c r="S3" s="58"/>
    </row>
    <row r="4" spans="2:21" s="1" customFormat="1" ht="20.5" customHeight="1" x14ac:dyDescent="0.35">
      <c r="B4" s="51"/>
      <c r="C4" s="51"/>
      <c r="D4" s="51"/>
      <c r="E4" s="51"/>
      <c r="F4" s="51"/>
      <c r="G4" s="3"/>
      <c r="H4" s="3"/>
      <c r="I4" s="3"/>
      <c r="J4" s="3"/>
      <c r="K4" s="3"/>
      <c r="L4" s="47"/>
      <c r="M4" s="47"/>
      <c r="N4" s="3"/>
      <c r="O4" s="47" t="s">
        <v>2</v>
      </c>
      <c r="P4" s="47"/>
      <c r="Q4" s="3"/>
      <c r="R4" s="3"/>
      <c r="S4" s="3"/>
    </row>
    <row r="5" spans="2:21" s="1" customFormat="1" ht="20.5" customHeight="1" x14ac:dyDescent="0.35">
      <c r="B5" s="3"/>
      <c r="C5" s="3"/>
      <c r="D5" s="21"/>
      <c r="E5" s="47" t="s">
        <v>42</v>
      </c>
      <c r="F5" s="56"/>
      <c r="G5" s="36" t="s">
        <v>43</v>
      </c>
      <c r="H5" s="37"/>
      <c r="I5" s="3"/>
      <c r="J5" s="3"/>
      <c r="K5" s="3"/>
      <c r="L5" s="3"/>
      <c r="M5" s="47" t="s">
        <v>8</v>
      </c>
      <c r="N5" s="55"/>
      <c r="O5" s="50">
        <v>0</v>
      </c>
      <c r="P5" s="50"/>
      <c r="Q5" s="3"/>
      <c r="R5" s="3"/>
      <c r="S5" s="3"/>
    </row>
    <row r="6" spans="2:21" s="1" customFormat="1" ht="20.5" customHeight="1" x14ac:dyDescent="0.35">
      <c r="B6" s="3"/>
      <c r="C6" s="3"/>
      <c r="D6" s="3"/>
      <c r="E6" s="3"/>
      <c r="F6" s="47"/>
      <c r="G6" s="56"/>
      <c r="H6" s="3"/>
      <c r="I6" s="3"/>
      <c r="J6" s="3"/>
      <c r="K6" s="3"/>
      <c r="L6" s="3"/>
      <c r="M6" s="3"/>
      <c r="N6" s="3"/>
      <c r="O6" s="3"/>
      <c r="P6" s="3"/>
      <c r="Q6" s="3"/>
      <c r="R6" s="3"/>
      <c r="S6" s="3"/>
    </row>
    <row r="7" spans="2:21" s="2" customFormat="1" ht="26.5" customHeight="1" x14ac:dyDescent="0.5">
      <c r="B7" s="49" t="s">
        <v>3</v>
      </c>
      <c r="C7" s="49"/>
      <c r="D7" s="49"/>
      <c r="E7" s="49"/>
      <c r="F7" s="49"/>
      <c r="G7" s="49"/>
      <c r="H7" s="49"/>
      <c r="I7" s="49"/>
      <c r="J7" s="49"/>
      <c r="K7" s="49"/>
      <c r="L7" s="49"/>
      <c r="M7" s="49"/>
      <c r="N7" s="49"/>
      <c r="O7" s="49"/>
      <c r="P7" s="49"/>
      <c r="Q7" s="49"/>
      <c r="R7" s="49"/>
      <c r="S7" s="49"/>
    </row>
    <row r="8" spans="2:21" s="2" customFormat="1" ht="20.5" customHeight="1" x14ac:dyDescent="0.5">
      <c r="B8" s="5"/>
      <c r="C8" s="5"/>
      <c r="D8" s="5"/>
      <c r="E8" s="5"/>
      <c r="F8" s="5"/>
      <c r="G8" s="4"/>
      <c r="H8" s="5"/>
      <c r="I8" s="5"/>
      <c r="J8" s="3"/>
      <c r="K8" s="3"/>
      <c r="L8" s="5"/>
      <c r="M8" s="48" t="s">
        <v>2</v>
      </c>
      <c r="N8" s="48"/>
      <c r="O8" s="3"/>
      <c r="P8" s="3"/>
      <c r="Q8" s="3"/>
      <c r="R8" s="3"/>
      <c r="S8" s="3"/>
    </row>
    <row r="9" spans="2:21" s="1" customFormat="1" ht="20.5" customHeight="1" x14ac:dyDescent="0.35">
      <c r="B9" s="5"/>
      <c r="C9" s="5"/>
      <c r="D9" s="5"/>
      <c r="E9" s="16"/>
      <c r="F9" s="31" t="s">
        <v>9</v>
      </c>
      <c r="G9" s="31"/>
      <c r="H9" s="31"/>
      <c r="I9" s="8"/>
      <c r="J9" s="3"/>
      <c r="K9" s="3" t="s">
        <v>10</v>
      </c>
      <c r="L9" s="52">
        <v>9000</v>
      </c>
      <c r="M9" s="53"/>
      <c r="N9" s="54"/>
      <c r="O9" s="3"/>
      <c r="P9" s="3"/>
      <c r="Q9" s="16"/>
      <c r="R9" s="16"/>
      <c r="S9" s="16"/>
      <c r="U9" s="24"/>
    </row>
    <row r="10" spans="2:21" ht="20.5" customHeight="1" x14ac:dyDescent="0.35">
      <c r="B10" s="5"/>
      <c r="C10" s="5"/>
      <c r="D10" s="5"/>
      <c r="E10" s="16"/>
      <c r="F10" s="32" t="s">
        <v>11</v>
      </c>
      <c r="G10" s="32"/>
      <c r="H10" s="32"/>
      <c r="I10" s="9"/>
      <c r="J10" s="3"/>
      <c r="K10" s="3" t="s">
        <v>10</v>
      </c>
      <c r="L10" s="39">
        <v>0</v>
      </c>
      <c r="M10" s="40"/>
      <c r="N10" s="41"/>
      <c r="O10" s="3"/>
      <c r="P10" s="3"/>
      <c r="Q10" s="16"/>
      <c r="R10" s="16"/>
      <c r="S10" s="16"/>
    </row>
    <row r="11" spans="2:21" ht="20.5" customHeight="1" x14ac:dyDescent="0.35">
      <c r="B11" s="5"/>
      <c r="C11" s="5"/>
      <c r="D11" s="5"/>
      <c r="E11" s="16"/>
      <c r="F11" s="31" t="s">
        <v>12</v>
      </c>
      <c r="G11" s="31"/>
      <c r="H11" s="31"/>
      <c r="I11" s="8"/>
      <c r="J11" s="3"/>
      <c r="K11" s="3" t="s">
        <v>10</v>
      </c>
      <c r="L11" s="39">
        <v>0</v>
      </c>
      <c r="M11" s="40"/>
      <c r="N11" s="41"/>
      <c r="O11" s="3"/>
      <c r="P11" s="3"/>
      <c r="Q11" s="16"/>
      <c r="R11" s="16"/>
      <c r="S11" s="16"/>
    </row>
    <row r="12" spans="2:21" ht="20.5" customHeight="1" x14ac:dyDescent="0.35">
      <c r="B12" s="5"/>
      <c r="C12" s="5"/>
      <c r="D12" s="5"/>
      <c r="E12" s="16"/>
      <c r="F12" s="32" t="s">
        <v>13</v>
      </c>
      <c r="G12" s="32"/>
      <c r="H12" s="32"/>
      <c r="I12" s="9"/>
      <c r="J12" s="3"/>
      <c r="K12" s="3" t="s">
        <v>10</v>
      </c>
      <c r="L12" s="39">
        <v>0</v>
      </c>
      <c r="M12" s="40"/>
      <c r="N12" s="41"/>
      <c r="O12" s="3"/>
      <c r="P12" s="3"/>
      <c r="Q12" s="16"/>
      <c r="R12" s="16"/>
      <c r="S12" s="16"/>
    </row>
    <row r="13" spans="2:21" ht="20.5" customHeight="1" x14ac:dyDescent="0.35">
      <c r="B13" s="5"/>
      <c r="C13" s="5"/>
      <c r="D13" s="5"/>
      <c r="E13" s="16"/>
      <c r="F13" s="32" t="s">
        <v>14</v>
      </c>
      <c r="G13" s="32"/>
      <c r="H13" s="32"/>
      <c r="I13" s="9"/>
      <c r="J13" s="3"/>
      <c r="K13" s="3" t="s">
        <v>10</v>
      </c>
      <c r="L13" s="28">
        <v>0</v>
      </c>
      <c r="M13" s="29"/>
      <c r="N13" s="30"/>
      <c r="O13" s="3"/>
      <c r="P13" s="7"/>
      <c r="Q13" s="16"/>
      <c r="R13" s="16"/>
      <c r="S13" s="16"/>
    </row>
    <row r="14" spans="2:21" ht="20.5" customHeight="1" x14ac:dyDescent="0.35">
      <c r="B14" s="5"/>
      <c r="C14" s="5"/>
      <c r="D14" s="5"/>
      <c r="E14" s="16"/>
      <c r="F14" s="32" t="s">
        <v>15</v>
      </c>
      <c r="G14" s="32"/>
      <c r="H14" s="32"/>
      <c r="I14" s="9"/>
      <c r="J14" s="3"/>
      <c r="K14" s="3" t="s">
        <v>10</v>
      </c>
      <c r="L14" s="28">
        <v>0</v>
      </c>
      <c r="M14" s="29"/>
      <c r="N14" s="30"/>
      <c r="O14" s="3"/>
      <c r="P14" s="3"/>
      <c r="Q14" s="16"/>
      <c r="R14" s="16"/>
      <c r="S14" s="16"/>
    </row>
    <row r="15" spans="2:21" ht="20.5" customHeight="1" x14ac:dyDescent="0.35">
      <c r="B15" s="5"/>
      <c r="C15" s="5"/>
      <c r="D15" s="5"/>
      <c r="E15" s="16"/>
      <c r="F15" s="32" t="s">
        <v>16</v>
      </c>
      <c r="G15" s="32"/>
      <c r="H15" s="32"/>
      <c r="I15" s="32"/>
      <c r="J15" s="3"/>
      <c r="K15" s="3" t="s">
        <v>10</v>
      </c>
      <c r="L15" s="42">
        <v>0</v>
      </c>
      <c r="M15" s="43"/>
      <c r="N15" s="44"/>
      <c r="O15" s="3"/>
      <c r="P15" s="3"/>
      <c r="Q15" s="16"/>
      <c r="R15" s="16"/>
      <c r="S15" s="16"/>
    </row>
    <row r="16" spans="2:21" ht="20.5" customHeight="1" x14ac:dyDescent="0.35">
      <c r="B16" s="5"/>
      <c r="C16" s="5"/>
      <c r="D16" s="5"/>
      <c r="E16" s="16"/>
      <c r="F16" s="32" t="s">
        <v>17</v>
      </c>
      <c r="G16" s="32"/>
      <c r="H16" s="32"/>
      <c r="I16" s="32"/>
      <c r="J16" s="3"/>
      <c r="K16" s="3" t="s">
        <v>10</v>
      </c>
      <c r="L16" s="28">
        <v>0</v>
      </c>
      <c r="M16" s="29"/>
      <c r="N16" s="30"/>
      <c r="O16" s="3"/>
      <c r="P16" s="3"/>
      <c r="Q16" s="16"/>
      <c r="R16" s="16"/>
      <c r="S16" s="16"/>
    </row>
    <row r="17" spans="2:21" ht="20.5" customHeight="1" x14ac:dyDescent="0.35">
      <c r="B17" s="5"/>
      <c r="C17" s="5"/>
      <c r="D17" s="5"/>
      <c r="E17" s="16"/>
      <c r="F17" s="32" t="s">
        <v>26</v>
      </c>
      <c r="G17" s="32"/>
      <c r="H17" s="32"/>
      <c r="I17" s="32"/>
      <c r="J17" s="32"/>
      <c r="K17" s="3" t="s">
        <v>10</v>
      </c>
      <c r="L17" s="28">
        <v>0</v>
      </c>
      <c r="M17" s="29"/>
      <c r="N17" s="30"/>
      <c r="O17" s="3"/>
      <c r="P17" s="3"/>
      <c r="Q17" s="16"/>
      <c r="R17" s="16"/>
      <c r="S17" s="16"/>
    </row>
    <row r="18" spans="2:21" ht="20.5" customHeight="1" x14ac:dyDescent="0.35">
      <c r="B18" s="5"/>
      <c r="C18" s="5"/>
      <c r="D18" s="5"/>
      <c r="E18" s="5"/>
      <c r="F18" s="5"/>
      <c r="G18" s="5"/>
      <c r="H18" s="5"/>
      <c r="I18" s="5"/>
      <c r="J18" s="3"/>
      <c r="K18" s="3"/>
      <c r="L18" s="3"/>
      <c r="M18" s="3"/>
      <c r="N18" s="3"/>
      <c r="O18" s="3"/>
      <c r="P18" s="3"/>
      <c r="Q18" s="3"/>
      <c r="R18" s="3"/>
      <c r="S18" s="3"/>
    </row>
    <row r="19" spans="2:21" ht="26" customHeight="1" x14ac:dyDescent="0.4">
      <c r="B19" s="5"/>
      <c r="C19" s="49" t="s">
        <v>4</v>
      </c>
      <c r="D19" s="49"/>
      <c r="E19" s="49"/>
      <c r="F19" s="49"/>
      <c r="G19" s="49"/>
      <c r="H19" s="49"/>
      <c r="I19" s="49"/>
      <c r="J19" s="3"/>
      <c r="K19" s="49" t="s">
        <v>5</v>
      </c>
      <c r="L19" s="49"/>
      <c r="M19" s="49"/>
      <c r="N19" s="49"/>
      <c r="O19" s="49"/>
      <c r="P19" s="49"/>
      <c r="Q19" s="49"/>
      <c r="R19" s="49"/>
      <c r="S19" s="6"/>
    </row>
    <row r="20" spans="2:21" ht="20.5" customHeight="1" x14ac:dyDescent="0.35">
      <c r="B20" s="5"/>
      <c r="C20" s="5"/>
      <c r="D20" s="5"/>
      <c r="E20" s="5"/>
      <c r="F20" s="5"/>
      <c r="G20" s="3"/>
      <c r="H20" s="59" t="s">
        <v>2</v>
      </c>
      <c r="I20" s="59"/>
      <c r="J20" s="3"/>
      <c r="K20" s="6"/>
      <c r="L20" s="6"/>
      <c r="M20" s="6"/>
      <c r="N20" s="6"/>
      <c r="O20" s="6"/>
      <c r="P20" s="6"/>
      <c r="Q20" s="6"/>
      <c r="R20" s="6"/>
      <c r="S20" s="6"/>
    </row>
    <row r="21" spans="2:21" ht="20.5" customHeight="1" x14ac:dyDescent="0.35">
      <c r="B21" s="8"/>
      <c r="C21" s="31" t="s">
        <v>34</v>
      </c>
      <c r="D21" s="31"/>
      <c r="E21" s="31"/>
      <c r="F21" s="31"/>
      <c r="G21" s="3" t="s">
        <v>10</v>
      </c>
      <c r="H21" s="27">
        <v>0</v>
      </c>
      <c r="I21" s="27"/>
      <c r="J21" s="16"/>
      <c r="K21" s="3"/>
      <c r="L21" s="6"/>
      <c r="M21" s="6"/>
      <c r="N21" s="6"/>
      <c r="O21" s="6"/>
      <c r="P21" s="6"/>
      <c r="Q21" s="4"/>
      <c r="R21" s="15" t="s">
        <v>2</v>
      </c>
      <c r="S21" s="3"/>
    </row>
    <row r="22" spans="2:21" ht="20.5" customHeight="1" x14ac:dyDescent="0.35">
      <c r="B22" s="5"/>
      <c r="C22" s="31" t="s">
        <v>21</v>
      </c>
      <c r="D22" s="31"/>
      <c r="E22" s="31"/>
      <c r="F22" s="5"/>
      <c r="G22" s="3" t="s">
        <v>10</v>
      </c>
      <c r="H22" s="27">
        <v>0</v>
      </c>
      <c r="I22" s="27"/>
      <c r="J22" s="16"/>
      <c r="K22" s="31" t="s">
        <v>37</v>
      </c>
      <c r="L22" s="31"/>
      <c r="M22" s="31"/>
      <c r="N22" s="31"/>
      <c r="O22" s="31"/>
      <c r="P22" s="10" t="s">
        <v>10</v>
      </c>
      <c r="Q22" s="27">
        <v>0</v>
      </c>
      <c r="R22" s="27"/>
      <c r="S22" s="3"/>
      <c r="U22" s="25" t="s">
        <v>39</v>
      </c>
    </row>
    <row r="23" spans="2:21" ht="20.5" customHeight="1" x14ac:dyDescent="0.35">
      <c r="B23" s="5"/>
      <c r="C23" s="31" t="s">
        <v>22</v>
      </c>
      <c r="D23" s="31"/>
      <c r="E23" s="31"/>
      <c r="F23" s="5"/>
      <c r="G23" s="3" t="s">
        <v>10</v>
      </c>
      <c r="H23" s="27">
        <v>0</v>
      </c>
      <c r="I23" s="27"/>
      <c r="J23" s="16"/>
      <c r="K23" s="31" t="s">
        <v>27</v>
      </c>
      <c r="L23" s="31"/>
      <c r="M23" s="31"/>
      <c r="N23" s="31"/>
      <c r="O23" s="6"/>
      <c r="P23" s="3" t="s">
        <v>10</v>
      </c>
      <c r="Q23" s="27">
        <v>0</v>
      </c>
      <c r="R23" s="27"/>
      <c r="S23" s="3"/>
      <c r="U23" s="25" t="s">
        <v>41</v>
      </c>
    </row>
    <row r="24" spans="2:21" ht="20.5" customHeight="1" x14ac:dyDescent="0.35">
      <c r="B24" s="5"/>
      <c r="C24" s="31" t="s">
        <v>23</v>
      </c>
      <c r="D24" s="31"/>
      <c r="E24" s="31"/>
      <c r="F24" s="5"/>
      <c r="G24" s="3" t="s">
        <v>10</v>
      </c>
      <c r="H24" s="23">
        <v>0</v>
      </c>
      <c r="I24" s="18">
        <f>PRODUCT(H24,2000)</f>
        <v>0</v>
      </c>
      <c r="J24" s="16"/>
      <c r="K24" s="31" t="s">
        <v>28</v>
      </c>
      <c r="L24" s="31"/>
      <c r="M24" s="31"/>
      <c r="N24" s="31"/>
      <c r="O24" s="6"/>
      <c r="P24" s="3" t="s">
        <v>10</v>
      </c>
      <c r="Q24" s="61">
        <v>0</v>
      </c>
      <c r="R24" s="61"/>
      <c r="S24" s="3"/>
      <c r="U24" s="25" t="s">
        <v>38</v>
      </c>
    </row>
    <row r="25" spans="2:21" ht="20.5" customHeight="1" x14ac:dyDescent="0.35">
      <c r="B25" s="5"/>
      <c r="C25" s="31" t="s">
        <v>35</v>
      </c>
      <c r="D25" s="31"/>
      <c r="E25" s="31"/>
      <c r="F25" s="31"/>
      <c r="G25" s="17" t="s">
        <v>10</v>
      </c>
      <c r="H25" s="23">
        <v>0</v>
      </c>
      <c r="I25" s="18">
        <f>PRODUCT(H25,8000)</f>
        <v>0</v>
      </c>
      <c r="J25" s="16"/>
      <c r="K25" s="31" t="s">
        <v>29</v>
      </c>
      <c r="L25" s="31"/>
      <c r="M25" s="31"/>
      <c r="N25" s="31"/>
      <c r="O25" s="6"/>
      <c r="P25" s="3" t="s">
        <v>10</v>
      </c>
      <c r="Q25" s="23">
        <v>0</v>
      </c>
      <c r="R25" s="18">
        <f>PRODUCT(Q25,6000)</f>
        <v>0</v>
      </c>
      <c r="S25" s="3"/>
      <c r="U25" s="25" t="s">
        <v>40</v>
      </c>
    </row>
    <row r="26" spans="2:21" ht="20.5" customHeight="1" x14ac:dyDescent="0.35">
      <c r="B26" s="5"/>
      <c r="C26" s="31" t="s">
        <v>24</v>
      </c>
      <c r="D26" s="31"/>
      <c r="E26" s="31"/>
      <c r="F26" s="5"/>
      <c r="G26" s="3" t="s">
        <v>10</v>
      </c>
      <c r="H26" s="27">
        <v>0</v>
      </c>
      <c r="I26" s="27"/>
      <c r="J26" s="16"/>
      <c r="K26" s="31" t="s">
        <v>30</v>
      </c>
      <c r="L26" s="31"/>
      <c r="M26" s="31"/>
      <c r="N26" s="31"/>
      <c r="O26" s="31"/>
      <c r="P26" s="3" t="s">
        <v>10</v>
      </c>
      <c r="Q26" s="23">
        <v>0</v>
      </c>
      <c r="R26" s="18">
        <f>PRODUCT(Q26,14000)</f>
        <v>0</v>
      </c>
      <c r="S26" s="3"/>
      <c r="U26" s="26" t="s">
        <v>7</v>
      </c>
    </row>
    <row r="27" spans="2:21" ht="20.5" customHeight="1" x14ac:dyDescent="0.35">
      <c r="B27" s="5"/>
      <c r="C27" s="31" t="s">
        <v>36</v>
      </c>
      <c r="D27" s="31"/>
      <c r="E27" s="31"/>
      <c r="F27" s="31"/>
      <c r="G27" s="17" t="s">
        <v>10</v>
      </c>
      <c r="H27" s="27">
        <v>0</v>
      </c>
      <c r="I27" s="27"/>
      <c r="J27" s="16"/>
      <c r="K27" s="31" t="s">
        <v>31</v>
      </c>
      <c r="L27" s="31"/>
      <c r="M27" s="31"/>
      <c r="N27" s="31"/>
      <c r="O27" s="31"/>
      <c r="P27" s="3" t="s">
        <v>10</v>
      </c>
      <c r="Q27" s="27">
        <v>0</v>
      </c>
      <c r="R27" s="27"/>
      <c r="S27" s="3"/>
      <c r="U27" s="26" t="s">
        <v>6</v>
      </c>
    </row>
    <row r="28" spans="2:21" ht="20.5" customHeight="1" x14ac:dyDescent="0.35">
      <c r="B28" s="5"/>
      <c r="C28" s="31" t="s">
        <v>25</v>
      </c>
      <c r="D28" s="31"/>
      <c r="E28" s="31"/>
      <c r="F28" s="31"/>
      <c r="G28" s="3" t="s">
        <v>10</v>
      </c>
      <c r="H28" s="27">
        <v>0</v>
      </c>
      <c r="I28" s="27"/>
      <c r="J28" s="5"/>
      <c r="K28" s="5"/>
      <c r="L28" s="5"/>
      <c r="M28" s="5"/>
      <c r="N28" s="5"/>
      <c r="O28" s="6"/>
      <c r="P28" s="6"/>
      <c r="Q28" s="6"/>
      <c r="R28" s="6"/>
      <c r="S28" s="3"/>
    </row>
    <row r="29" spans="2:21" ht="20.5" customHeight="1" x14ac:dyDescent="0.35">
      <c r="B29" s="8"/>
      <c r="C29" s="32" t="s">
        <v>33</v>
      </c>
      <c r="D29" s="32"/>
      <c r="E29" s="32"/>
      <c r="F29" s="32"/>
      <c r="G29" s="3" t="s">
        <v>10</v>
      </c>
      <c r="H29" s="27">
        <v>0</v>
      </c>
      <c r="I29" s="27"/>
      <c r="J29" s="8"/>
      <c r="K29" s="8"/>
      <c r="L29" s="8"/>
      <c r="M29" s="8"/>
      <c r="N29" s="8"/>
      <c r="O29" s="6"/>
      <c r="P29" s="6"/>
      <c r="Q29" s="6"/>
      <c r="R29" s="6"/>
      <c r="S29" s="3"/>
    </row>
    <row r="30" spans="2:21" ht="20.5" customHeight="1" x14ac:dyDescent="0.35">
      <c r="B30" s="5"/>
      <c r="C30" s="5"/>
      <c r="D30" s="5"/>
      <c r="E30" s="5"/>
      <c r="F30" s="5"/>
      <c r="G30" s="5"/>
      <c r="H30" s="5"/>
      <c r="I30" s="5"/>
      <c r="J30" s="6"/>
      <c r="K30" s="6"/>
      <c r="L30" s="6"/>
      <c r="M30" s="6"/>
      <c r="N30" s="6"/>
      <c r="O30" s="6"/>
      <c r="P30" s="6"/>
      <c r="Q30" s="6"/>
      <c r="R30" s="6"/>
      <c r="S30" s="3"/>
    </row>
    <row r="31" spans="2:21" ht="20.5" customHeight="1" x14ac:dyDescent="0.4">
      <c r="B31" s="49" t="s">
        <v>1</v>
      </c>
      <c r="C31" s="49"/>
      <c r="D31" s="49"/>
      <c r="E31" s="49"/>
      <c r="F31" s="49"/>
      <c r="G31" s="49"/>
      <c r="H31" s="49"/>
      <c r="I31" s="49"/>
      <c r="J31" s="49"/>
      <c r="K31" s="49"/>
      <c r="L31" s="49"/>
      <c r="M31" s="49"/>
      <c r="N31" s="49"/>
      <c r="O31" s="49"/>
      <c r="P31" s="49"/>
      <c r="Q31" s="49"/>
      <c r="R31" s="49"/>
      <c r="S31" s="49"/>
    </row>
    <row r="32" spans="2:21" ht="20.5" customHeight="1" x14ac:dyDescent="0.35">
      <c r="B32" s="5"/>
      <c r="C32" s="5"/>
      <c r="D32" s="5"/>
      <c r="E32" s="5"/>
      <c r="F32" s="5"/>
      <c r="G32" s="5"/>
      <c r="H32" s="5"/>
      <c r="I32" s="4" t="s">
        <v>2</v>
      </c>
      <c r="J32" s="5"/>
      <c r="K32" s="6"/>
      <c r="L32" s="6"/>
      <c r="M32" s="6"/>
      <c r="N32" s="6"/>
      <c r="O32" s="6"/>
      <c r="P32" s="6"/>
      <c r="Q32" s="6"/>
      <c r="R32" s="6"/>
      <c r="S32" s="3"/>
    </row>
    <row r="33" spans="2:19" ht="20.5" customHeight="1" x14ac:dyDescent="0.35">
      <c r="B33" s="5"/>
      <c r="C33" s="5"/>
      <c r="D33" s="31" t="s">
        <v>18</v>
      </c>
      <c r="E33" s="31"/>
      <c r="F33" s="31"/>
      <c r="G33" s="3" t="s">
        <v>10</v>
      </c>
      <c r="H33" s="33">
        <f>O5</f>
        <v>0</v>
      </c>
      <c r="I33" s="34"/>
      <c r="J33" s="5"/>
      <c r="K33" s="5"/>
      <c r="L33" s="5"/>
      <c r="M33" s="16"/>
      <c r="N33" s="45" t="s">
        <v>32</v>
      </c>
      <c r="O33" s="45"/>
      <c r="P33" s="45"/>
      <c r="Q33" s="45"/>
      <c r="R33" s="6"/>
      <c r="S33" s="7"/>
    </row>
    <row r="34" spans="2:19" ht="20.5" customHeight="1" x14ac:dyDescent="0.35">
      <c r="B34" s="5"/>
      <c r="C34" s="5"/>
      <c r="D34" s="31" t="s">
        <v>19</v>
      </c>
      <c r="E34" s="31"/>
      <c r="F34" s="31"/>
      <c r="G34" s="3" t="s">
        <v>10</v>
      </c>
      <c r="H34" s="33">
        <f>SUM(L9:N17) +SUM(H21:I23,I24,I25,H26:I29) +SUM(Q22:R23,Q24,R25,R26,Q27)</f>
        <v>9000</v>
      </c>
      <c r="I34" s="34"/>
      <c r="J34" s="5"/>
      <c r="K34" s="5"/>
      <c r="L34" s="5"/>
      <c r="M34" s="16"/>
      <c r="N34" s="46" t="s">
        <v>2</v>
      </c>
      <c r="O34" s="38">
        <v>0</v>
      </c>
      <c r="P34" s="38"/>
      <c r="Q34" s="5"/>
      <c r="R34" s="16"/>
      <c r="S34" s="3"/>
    </row>
    <row r="35" spans="2:19" ht="20.5" customHeight="1" x14ac:dyDescent="0.35">
      <c r="B35" s="5"/>
      <c r="C35" s="5"/>
      <c r="D35" s="31" t="s">
        <v>20</v>
      </c>
      <c r="E35" s="31"/>
      <c r="F35" s="31"/>
      <c r="G35" s="3" t="s">
        <v>10</v>
      </c>
      <c r="H35" s="35">
        <f>IF(H33&lt;5000,0,IF(H33 &lt;= H34, 0,H33-H34))</f>
        <v>0</v>
      </c>
      <c r="I35" s="35"/>
      <c r="J35" s="5"/>
      <c r="K35" s="5"/>
      <c r="L35" s="5"/>
      <c r="M35" s="16"/>
      <c r="N35" s="46"/>
      <c r="O35" s="38"/>
      <c r="P35" s="38"/>
      <c r="Q35" s="5"/>
      <c r="R35" s="16"/>
      <c r="S35" s="3"/>
    </row>
    <row r="36" spans="2:19" ht="20.5" customHeight="1" x14ac:dyDescent="0.35">
      <c r="B36" s="14"/>
      <c r="C36" s="14"/>
      <c r="D36" s="14"/>
      <c r="E36" s="14"/>
      <c r="F36" s="14"/>
      <c r="G36" s="14"/>
      <c r="H36" s="14"/>
      <c r="I36" s="14"/>
      <c r="J36" s="14"/>
      <c r="K36" s="14"/>
      <c r="L36" s="6"/>
      <c r="M36" s="6"/>
      <c r="N36" s="6"/>
      <c r="O36" s="6"/>
      <c r="P36" s="6"/>
      <c r="Q36" s="6"/>
      <c r="R36" s="6"/>
      <c r="S36" s="3"/>
    </row>
    <row r="37" spans="2:19" ht="20.5" customHeight="1" x14ac:dyDescent="0.35">
      <c r="B37" s="11"/>
      <c r="C37" s="11"/>
      <c r="D37" s="11"/>
      <c r="E37" s="11"/>
      <c r="F37" s="11"/>
      <c r="G37" s="11"/>
      <c r="H37" s="11"/>
      <c r="I37" s="13"/>
      <c r="J37" s="12"/>
      <c r="K37" s="12"/>
      <c r="L37" s="12"/>
      <c r="M37" s="12"/>
      <c r="N37" s="12"/>
      <c r="O37" s="12"/>
      <c r="P37" s="12"/>
      <c r="Q37" s="12"/>
      <c r="R37" s="12"/>
      <c r="S37" s="12"/>
    </row>
    <row r="38" spans="2:19" ht="20.5" customHeight="1" x14ac:dyDescent="0.35"/>
  </sheetData>
  <sheetProtection sheet="1" objects="1" scenarios="1" selectLockedCells="1"/>
  <mergeCells count="69">
    <mergeCell ref="B1:S1"/>
    <mergeCell ref="B2:S3"/>
    <mergeCell ref="B31:S31"/>
    <mergeCell ref="K19:R19"/>
    <mergeCell ref="H20:I20"/>
    <mergeCell ref="Q23:R23"/>
    <mergeCell ref="Q24:R24"/>
    <mergeCell ref="Q27:R27"/>
    <mergeCell ref="F17:J17"/>
    <mergeCell ref="H21:I21"/>
    <mergeCell ref="H22:I22"/>
    <mergeCell ref="H23:I23"/>
    <mergeCell ref="H26:I26"/>
    <mergeCell ref="C19:I19"/>
    <mergeCell ref="H27:I27"/>
    <mergeCell ref="H28:I28"/>
    <mergeCell ref="H29:I29"/>
    <mergeCell ref="K23:N23"/>
    <mergeCell ref="K24:N24"/>
    <mergeCell ref="K25:N25"/>
    <mergeCell ref="K26:O26"/>
    <mergeCell ref="K22:O22"/>
    <mergeCell ref="O4:P4"/>
    <mergeCell ref="M8:N8"/>
    <mergeCell ref="B7:S7"/>
    <mergeCell ref="O5:P5"/>
    <mergeCell ref="L4:M4"/>
    <mergeCell ref="B4:F4"/>
    <mergeCell ref="L9:N9"/>
    <mergeCell ref="M5:N5"/>
    <mergeCell ref="L10:N10"/>
    <mergeCell ref="L11:N11"/>
    <mergeCell ref="F9:H9"/>
    <mergeCell ref="F10:H10"/>
    <mergeCell ref="F11:H11"/>
    <mergeCell ref="F6:G6"/>
    <mergeCell ref="E5:F5"/>
    <mergeCell ref="G5:H5"/>
    <mergeCell ref="O34:P35"/>
    <mergeCell ref="D33:F33"/>
    <mergeCell ref="F15:I15"/>
    <mergeCell ref="F16:I16"/>
    <mergeCell ref="F12:H12"/>
    <mergeCell ref="F13:H13"/>
    <mergeCell ref="F14:H14"/>
    <mergeCell ref="H33:I33"/>
    <mergeCell ref="L12:N12"/>
    <mergeCell ref="L13:N13"/>
    <mergeCell ref="L14:N14"/>
    <mergeCell ref="L15:N15"/>
    <mergeCell ref="L16:N16"/>
    <mergeCell ref="N33:Q33"/>
    <mergeCell ref="N34:N35"/>
    <mergeCell ref="Q22:R22"/>
    <mergeCell ref="L17:N17"/>
    <mergeCell ref="D34:F34"/>
    <mergeCell ref="D35:F35"/>
    <mergeCell ref="C22:E22"/>
    <mergeCell ref="C23:E23"/>
    <mergeCell ref="C24:E24"/>
    <mergeCell ref="C26:E26"/>
    <mergeCell ref="C28:F28"/>
    <mergeCell ref="C29:F29"/>
    <mergeCell ref="C25:F25"/>
    <mergeCell ref="C27:F27"/>
    <mergeCell ref="C21:F21"/>
    <mergeCell ref="K27:O27"/>
    <mergeCell ref="H34:I34"/>
    <mergeCell ref="H35:I35"/>
  </mergeCells>
  <dataValidations count="23">
    <dataValidation type="whole" operator="greaterThanOrEqual" showInputMessage="1" showErrorMessage="1" sqref="H33:H34" xr:uid="{7CB27533-C54F-4487-B430-CD39B4FBE130}">
      <formula1>0</formula1>
    </dataValidation>
    <dataValidation type="whole" operator="greaterThanOrEqual" allowBlank="1" showInputMessage="1" showErrorMessage="1" sqref="L9:N12 Q24:R24" xr:uid="{0604F385-83EA-48ED-8709-7187362437C0}">
      <formula1>0</formula1>
    </dataValidation>
    <dataValidation type="whole" operator="greaterThanOrEqual" showErrorMessage="1" errorTitle="Error" error="Insert Numbers Only" promptTitle="Gross Income" prompt="Total salary, bonus, director's fee, commission and perquisite" sqref="O5:P5" xr:uid="{0537F5C0-88B8-48DF-96BB-C9E5E99B770D}">
      <formula1>0</formula1>
    </dataValidation>
    <dataValidation type="whole" showInputMessage="1" showErrorMessage="1" errorTitle="Error" error="Maximum SOCSO is RM250" sqref="L13:N13" xr:uid="{E13FA3FF-51A1-40F7-A0AC-F8710F2EF5F5}">
      <formula1>0</formula1>
      <formula2>250</formula2>
    </dataValidation>
    <dataValidation type="whole" allowBlank="1" showInputMessage="1" showErrorMessage="1" errorTitle="Error" error="Maximum EPF amount is RM4000" sqref="L14:N14" xr:uid="{BEBD13AA-89C8-4D28-B889-B05C7AE8B5F1}">
      <formula1>0</formula1>
      <formula2>4000</formula2>
    </dataValidation>
    <dataValidation type="whole" allowBlank="1" showInputMessage="1" showErrorMessage="1" errorTitle="Error" error="Maximum Medical / Education Insurance Premiums is RM3000" sqref="L17:N17" xr:uid="{FC9C7250-F941-48CE-B2D0-CB9816D2CF5D}">
      <formula1>0</formula1>
      <formula2>3000</formula2>
    </dataValidation>
    <dataValidation type="whole" allowBlank="1" showInputMessage="1" showErrorMessage="1" errorTitle="Error" error="Maximum Lifestyle Expenses is RM2500" sqref="H21:I22" xr:uid="{3D3F301B-0CC9-4F86-80E1-47A1E81FB638}">
      <formula1>0</formula1>
      <formula2>2500</formula2>
    </dataValidation>
    <dataValidation type="whole" allowBlank="1" showInputMessage="1" showErrorMessage="1" errorTitle="Error" error="Maximum Life Insurance Premiums is RM3000" sqref="L15:N15" xr:uid="{B19354CA-E106-423E-9FCB-2A014369EA46}">
      <formula1>0</formula1>
      <formula2>3000</formula2>
    </dataValidation>
    <dataValidation type="whole" allowBlank="1" showInputMessage="1" showErrorMessage="1" errorTitle="Error" error="Maximum PRS and Deffered Annuity is RM3000" sqref="L16:N16" xr:uid="{CF8E015D-CF6A-4D56-8E81-F52625C88286}">
      <formula1>0</formula1>
      <formula2>3000</formula2>
    </dataValidation>
    <dataValidation type="whole" showInputMessage="1" showErrorMessage="1" errorTitle="Disabled children(H. Education)" error="Please insert a valid for number of disabled children in higher education (whole number) " sqref="Q26" xr:uid="{4DD2BEFC-0146-48DF-A7FF-2276264115EA}">
      <formula1>0</formula1>
      <formula2>18</formula2>
    </dataValidation>
    <dataValidation type="whole" allowBlank="1" showInputMessage="1" showErrorMessage="1" errorTitle="Error" error="Maximum Education Fees for Self is RM7000" sqref="H23:I23" xr:uid="{4F1921B3-3590-46E1-8659-C2C9DF899ED6}">
      <formula1>0</formula1>
      <formula2>7000</formula2>
    </dataValidation>
    <dataValidation type="whole" allowBlank="1" showInputMessage="1" showErrorMessage="1" errorTitle="Error" error="Maximum Purchase of Supporting Equipment is RM6000" sqref="H27:I27" xr:uid="{32A54C3B-E571-4023-9425-801DFB77DDCD}">
      <formula1>0</formula1>
      <formula2>6000</formula2>
    </dataValidation>
    <dataValidation type="whole" allowBlank="1" showInputMessage="1" showErrorMessage="1" errorTitle="Error" error="Maximum Child Care Fees is RM3000" sqref="H28:I28" xr:uid="{8CE31412-908C-4B00-BA86-D3AB40FBC777}">
      <formula1>0</formula1>
      <formula2>3000</formula2>
    </dataValidation>
    <dataValidation type="whole" allowBlank="1" showInputMessage="1" showErrorMessage="1" errorTitle="Error" error="Maximum Domestic Travel Expenses is RM1000" sqref="H29:I29" xr:uid="{2DF35C0F-7D8D-4D29-A7FE-14EA780C2AB9}">
      <formula1>0</formula1>
      <formula2>1000</formula2>
    </dataValidation>
    <dataValidation type="whole" allowBlank="1" showInputMessage="1" showErrorMessage="1" errorTitle="Error" error="Maximum Family Medical Expenses is RM6000" sqref="Q22:R22" xr:uid="{F8D9CAD8-1072-4715-A504-27E4BABC4EB9}">
      <formula1>0</formula1>
      <formula2>6000</formula2>
    </dataValidation>
    <dataValidation type="whole" allowBlank="1" showInputMessage="1" showErrorMessage="1" errorTitle="Error" error="Maximum Parental Medical Expenses is RM5000" sqref="Q23:R23" xr:uid="{6B0D99F3-73AD-4FEB-8AE9-7E01BA00BFBA}">
      <formula1>0</formula1>
      <formula2>5000</formula2>
    </dataValidation>
    <dataValidation type="whole" allowBlank="1" showInputMessage="1" showErrorMessage="1" errorTitle="Error" error="Maximum Breastfeeding Equipment is RM1000" sqref="Q27:R27" xr:uid="{B73D1EA2-A2E6-429C-B49E-87C96F12613A}">
      <formula1>0</formula1>
      <formula2>1000</formula2>
    </dataValidation>
    <dataValidation type="whole" allowBlank="1" showInputMessage="1" showErrorMessage="1" errorTitle="Error" error="Maximum SSPN Savings is RM8000" sqref="H26:I26" xr:uid="{53CA69EF-7C43-4F9F-A0C4-492AC2AB67BF}">
      <formula1>0</formula1>
      <formula2>8000</formula2>
    </dataValidation>
    <dataValidation type="whole" allowBlank="1" showInputMessage="1" showErrorMessage="1" errorTitle="Total Number of Children" error="Please insert a valid number of children (whole number) " sqref="H24" xr:uid="{1CDC8AE9-B8A9-456C-9A97-52225651EF62}">
      <formula1>0</formula1>
      <formula2>18</formula2>
    </dataValidation>
    <dataValidation type="whole" allowBlank="1" showInputMessage="1" showErrorMessage="1" errorTitle="No. of children in H. Education" error="Please insert a valid number of children in Higher Education (whole number) " sqref="H25" xr:uid="{E4090AC5-7E6D-4CC8-98A4-66F9BE8F823C}">
      <formula1>0</formula1>
      <formula2>18</formula2>
    </dataValidation>
    <dataValidation operator="equal" showInputMessage="1" showErrorMessage="1" sqref="I24" xr:uid="{D243D85E-AE5F-44AF-8D04-0363FE486A77}"/>
    <dataValidation type="whole" showInputMessage="1" showErrorMessage="1" errorTitle="Disabled Children" error="Please insert a valid for number of disabled children (whole number) " sqref="Q25" xr:uid="{A1A058A2-4C4F-4651-8095-F764CD28F935}">
      <formula1>0</formula1>
      <formula2>18</formula2>
    </dataValidation>
    <dataValidation type="custom" operator="equal" allowBlank="1" showInputMessage="1" showErrorMessage="1" errorTitle="Error" error="Please enter the last 4 digits of your IC only" sqref="G5:H5" xr:uid="{350FC81C-B996-43C3-99A3-4BB907B91879}">
      <formula1>AND(ISNUMBER(G5+0),LEN(G5)=4)</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93" r:id="rId4" name="btnClear">
          <controlPr defaultSize="0" autoLine="0" r:id="rId5">
            <anchor moveWithCells="1">
              <from>
                <xdr:col>11</xdr:col>
                <xdr:colOff>88900</xdr:colOff>
                <xdr:row>31</xdr:row>
                <xdr:rowOff>139700</xdr:rowOff>
              </from>
              <to>
                <xdr:col>12</xdr:col>
                <xdr:colOff>273050</xdr:colOff>
                <xdr:row>32</xdr:row>
                <xdr:rowOff>247650</xdr:rowOff>
              </to>
            </anchor>
          </controlPr>
        </control>
      </mc:Choice>
      <mc:Fallback>
        <control shapeId="1093" r:id="rId4" name="btnClear"/>
      </mc:Fallback>
    </mc:AlternateContent>
    <mc:AlternateContent xmlns:mc="http://schemas.openxmlformats.org/markup-compatibility/2006">
      <mc:Choice Requires="x14">
        <control shapeId="1092" r:id="rId6" name="ComboBox1">
          <controlPr locked="0" defaultSize="0" autoLine="0" listFillRange="$U22:$U25" r:id="rId7">
            <anchor moveWithCells="1">
              <from>
                <xdr:col>16</xdr:col>
                <xdr:colOff>6350</xdr:colOff>
                <xdr:row>23</xdr:row>
                <xdr:rowOff>12700</xdr:rowOff>
              </from>
              <to>
                <xdr:col>17</xdr:col>
                <xdr:colOff>133350</xdr:colOff>
                <xdr:row>24</xdr:row>
                <xdr:rowOff>6350</xdr:rowOff>
              </to>
            </anchor>
          </controlPr>
        </control>
      </mc:Choice>
      <mc:Fallback>
        <control shapeId="1092" r:id="rId6" name="ComboBox1"/>
      </mc:Fallback>
    </mc:AlternateContent>
    <mc:AlternateContent xmlns:mc="http://schemas.openxmlformats.org/markup-compatibility/2006">
      <mc:Choice Requires="x14">
        <control shapeId="1041" r:id="rId8" name="btnCalculate">
          <controlPr defaultSize="0" autoFill="0" autoLine="0" r:id="rId9">
            <anchor moveWithCells="1">
              <from>
                <xdr:col>10</xdr:col>
                <xdr:colOff>431800</xdr:colOff>
                <xdr:row>33</xdr:row>
                <xdr:rowOff>50800</xdr:rowOff>
              </from>
              <to>
                <xdr:col>12</xdr:col>
                <xdr:colOff>552450</xdr:colOff>
                <xdr:row>35</xdr:row>
                <xdr:rowOff>12700</xdr:rowOff>
              </to>
            </anchor>
          </controlPr>
        </control>
      </mc:Choice>
      <mc:Fallback>
        <control shapeId="1041" r:id="rId8" name="btnCalculate"/>
      </mc:Fallback>
    </mc:AlternateContent>
    <mc:AlternateContent xmlns:mc="http://schemas.openxmlformats.org/markup-compatibility/2006">
      <mc:Choice Requires="x14">
        <control shapeId="1029" r:id="rId10" name="yesNo_cmb">
          <controlPr locked="0" defaultSize="0" autoLine="0" autoPict="0" listFillRange="$U$26:$U$27" r:id="rId11">
            <anchor moveWithCells="1">
              <from>
                <xdr:col>11</xdr:col>
                <xdr:colOff>6350</xdr:colOff>
                <xdr:row>9</xdr:row>
                <xdr:rowOff>6350</xdr:rowOff>
              </from>
              <to>
                <xdr:col>12</xdr:col>
                <xdr:colOff>323850</xdr:colOff>
                <xdr:row>9</xdr:row>
                <xdr:rowOff>254000</xdr:rowOff>
              </to>
            </anchor>
          </controlPr>
        </control>
      </mc:Choice>
      <mc:Fallback>
        <control shapeId="1029" r:id="rId10" name="yesNo_cmb"/>
      </mc:Fallback>
    </mc:AlternateContent>
    <mc:AlternateContent xmlns:mc="http://schemas.openxmlformats.org/markup-compatibility/2006">
      <mc:Choice Requires="x14">
        <control shapeId="1039" r:id="rId12" name="yesNo_cmb2">
          <controlPr locked="0" defaultSize="0" autoLine="0" autoPict="0" listFillRange="$U$26:$U$27" r:id="rId13">
            <anchor moveWithCells="1">
              <from>
                <xdr:col>11</xdr:col>
                <xdr:colOff>6350</xdr:colOff>
                <xdr:row>9</xdr:row>
                <xdr:rowOff>254000</xdr:rowOff>
              </from>
              <to>
                <xdr:col>12</xdr:col>
                <xdr:colOff>323850</xdr:colOff>
                <xdr:row>11</xdr:row>
                <xdr:rowOff>0</xdr:rowOff>
              </to>
            </anchor>
          </controlPr>
        </control>
      </mc:Choice>
      <mc:Fallback>
        <control shapeId="1039" r:id="rId12" name="yesNo_cmb2"/>
      </mc:Fallback>
    </mc:AlternateContent>
    <mc:AlternateContent xmlns:mc="http://schemas.openxmlformats.org/markup-compatibility/2006">
      <mc:Choice Requires="x14">
        <control shapeId="1040" r:id="rId14" name="yesNo_cmb3">
          <controlPr locked="0" defaultSize="0" autoLine="0" autoPict="0" listFillRange="$U$26:$U$27" r:id="rId15">
            <anchor moveWithCells="1">
              <from>
                <xdr:col>11</xdr:col>
                <xdr:colOff>6350</xdr:colOff>
                <xdr:row>11</xdr:row>
                <xdr:rowOff>0</xdr:rowOff>
              </from>
              <to>
                <xdr:col>12</xdr:col>
                <xdr:colOff>330200</xdr:colOff>
                <xdr:row>12</xdr:row>
                <xdr:rowOff>0</xdr:rowOff>
              </to>
            </anchor>
          </controlPr>
        </control>
      </mc:Choice>
      <mc:Fallback>
        <control shapeId="1040" r:id="rId14" name="yesNo_cmb3"/>
      </mc:Fallback>
    </mc:AlternateContent>
    <mc:AlternateContent xmlns:mc="http://schemas.openxmlformats.org/markup-compatibility/2006">
      <mc:Choice Requires="x14">
        <control shapeId="1081" r:id="rId16" name="Spinner 57">
          <controlPr defaultSize="0" autoPict="0" macro="[0]!Spinner57_Change">
            <anchor moveWithCells="1" sizeWithCells="1">
              <from>
                <xdr:col>7</xdr:col>
                <xdr:colOff>381000</xdr:colOff>
                <xdr:row>23</xdr:row>
                <xdr:rowOff>12700</xdr:rowOff>
              </from>
              <to>
                <xdr:col>8</xdr:col>
                <xdr:colOff>6350</xdr:colOff>
                <xdr:row>23</xdr:row>
                <xdr:rowOff>260350</xdr:rowOff>
              </to>
            </anchor>
          </controlPr>
        </control>
      </mc:Choice>
    </mc:AlternateContent>
    <mc:AlternateContent xmlns:mc="http://schemas.openxmlformats.org/markup-compatibility/2006">
      <mc:Choice Requires="x14">
        <control shapeId="1082" r:id="rId17" name="Spinner 58">
          <controlPr defaultSize="0" autoPict="0">
            <anchor moveWithCells="1" sizeWithCells="1">
              <from>
                <xdr:col>7</xdr:col>
                <xdr:colOff>381000</xdr:colOff>
                <xdr:row>24</xdr:row>
                <xdr:rowOff>12700</xdr:rowOff>
              </from>
              <to>
                <xdr:col>8</xdr:col>
                <xdr:colOff>6350</xdr:colOff>
                <xdr:row>25</xdr:row>
                <xdr:rowOff>0</xdr:rowOff>
              </to>
            </anchor>
          </controlPr>
        </control>
      </mc:Choice>
    </mc:AlternateContent>
    <mc:AlternateContent xmlns:mc="http://schemas.openxmlformats.org/markup-compatibility/2006">
      <mc:Choice Requires="x14">
        <control shapeId="1083" r:id="rId18" name="Spinner 59">
          <controlPr defaultSize="0" autoPict="0">
            <anchor moveWithCells="1" sizeWithCells="1">
              <from>
                <xdr:col>7</xdr:col>
                <xdr:colOff>381000</xdr:colOff>
                <xdr:row>24</xdr:row>
                <xdr:rowOff>12700</xdr:rowOff>
              </from>
              <to>
                <xdr:col>8</xdr:col>
                <xdr:colOff>6350</xdr:colOff>
                <xdr:row>24</xdr:row>
                <xdr:rowOff>260350</xdr:rowOff>
              </to>
            </anchor>
          </controlPr>
        </control>
      </mc:Choice>
    </mc:AlternateContent>
    <mc:AlternateContent xmlns:mc="http://schemas.openxmlformats.org/markup-compatibility/2006">
      <mc:Choice Requires="x14">
        <control shapeId="1084" r:id="rId19" name="Spinner 60">
          <controlPr defaultSize="0" autoPict="0">
            <anchor moveWithCells="1" sizeWithCells="1">
              <from>
                <xdr:col>16</xdr:col>
                <xdr:colOff>381000</xdr:colOff>
                <xdr:row>25</xdr:row>
                <xdr:rowOff>12700</xdr:rowOff>
              </from>
              <to>
                <xdr:col>17</xdr:col>
                <xdr:colOff>6350</xdr:colOff>
                <xdr:row>26</xdr:row>
                <xdr:rowOff>0</xdr:rowOff>
              </to>
            </anchor>
          </controlPr>
        </control>
      </mc:Choice>
    </mc:AlternateContent>
    <mc:AlternateContent xmlns:mc="http://schemas.openxmlformats.org/markup-compatibility/2006">
      <mc:Choice Requires="x14">
        <control shapeId="1085" r:id="rId20" name="Spinner 61">
          <controlPr defaultSize="0" autoPict="0">
            <anchor moveWithCells="1" sizeWithCells="1">
              <from>
                <xdr:col>16</xdr:col>
                <xdr:colOff>381000</xdr:colOff>
                <xdr:row>25</xdr:row>
                <xdr:rowOff>12700</xdr:rowOff>
              </from>
              <to>
                <xdr:col>17</xdr:col>
                <xdr:colOff>6350</xdr:colOff>
                <xdr:row>25</xdr:row>
                <xdr:rowOff>260350</xdr:rowOff>
              </to>
            </anchor>
          </controlPr>
        </control>
      </mc:Choice>
    </mc:AlternateContent>
    <mc:AlternateContent xmlns:mc="http://schemas.openxmlformats.org/markup-compatibility/2006">
      <mc:Choice Requires="x14">
        <control shapeId="1086" r:id="rId21" name="Spinner 62">
          <controlPr defaultSize="0" autoPict="0">
            <anchor moveWithCells="1" sizeWithCells="1">
              <from>
                <xdr:col>16</xdr:col>
                <xdr:colOff>381000</xdr:colOff>
                <xdr:row>24</xdr:row>
                <xdr:rowOff>12700</xdr:rowOff>
              </from>
              <to>
                <xdr:col>17</xdr:col>
                <xdr:colOff>6350</xdr:colOff>
                <xdr:row>25</xdr:row>
                <xdr:rowOff>0</xdr:rowOff>
              </to>
            </anchor>
          </controlPr>
        </control>
      </mc:Choice>
    </mc:AlternateContent>
    <mc:AlternateContent xmlns:mc="http://schemas.openxmlformats.org/markup-compatibility/2006">
      <mc:Choice Requires="x14">
        <control shapeId="1087" r:id="rId22" name="Spinner 63">
          <controlPr defaultSize="0" autoPict="0">
            <anchor moveWithCells="1" sizeWithCells="1">
              <from>
                <xdr:col>16</xdr:col>
                <xdr:colOff>381000</xdr:colOff>
                <xdr:row>24</xdr:row>
                <xdr:rowOff>12700</xdr:rowOff>
              </from>
              <to>
                <xdr:col>17</xdr:col>
                <xdr:colOff>6350</xdr:colOff>
                <xdr:row>24</xdr:row>
                <xdr:rowOff>260350</xdr:rowOff>
              </to>
            </anchor>
          </controlPr>
        </control>
      </mc:Choice>
    </mc:AlternateContent>
    <mc:AlternateContent xmlns:mc="http://schemas.openxmlformats.org/markup-compatibility/2006">
      <mc:Choice Requires="x14">
        <control shapeId="1088" r:id="rId23" name="Spinner 64">
          <controlPr defaultSize="0" autoPict="0">
            <anchor moveWithCells="1" sizeWithCells="1">
              <from>
                <xdr:col>16</xdr:col>
                <xdr:colOff>381000</xdr:colOff>
                <xdr:row>24</xdr:row>
                <xdr:rowOff>12700</xdr:rowOff>
              </from>
              <to>
                <xdr:col>17</xdr:col>
                <xdr:colOff>6350</xdr:colOff>
                <xdr:row>25</xdr:row>
                <xdr:rowOff>0</xdr:rowOff>
              </to>
            </anchor>
          </controlPr>
        </control>
      </mc:Choice>
    </mc:AlternateContent>
    <mc:AlternateContent xmlns:mc="http://schemas.openxmlformats.org/markup-compatibility/2006">
      <mc:Choice Requires="x14">
        <control shapeId="1089" r:id="rId24" name="Spinner 65">
          <controlPr defaultSize="0" autoPict="0">
            <anchor moveWithCells="1" sizeWithCells="1">
              <from>
                <xdr:col>16</xdr:col>
                <xdr:colOff>381000</xdr:colOff>
                <xdr:row>24</xdr:row>
                <xdr:rowOff>12700</xdr:rowOff>
              </from>
              <to>
                <xdr:col>17</xdr:col>
                <xdr:colOff>6350</xdr:colOff>
                <xdr:row>24</xdr:row>
                <xdr:rowOff>260350</xdr:rowOff>
              </to>
            </anchor>
          </controlPr>
        </control>
      </mc:Choice>
    </mc:AlternateContent>
    <mc:AlternateContent xmlns:mc="http://schemas.openxmlformats.org/markup-compatibility/2006">
      <mc:Choice Requires="x14">
        <control shapeId="1096" r:id="rId25" name="Spinner 72">
          <controlPr defaultSize="0" autoPict="0">
            <anchor moveWithCells="1" sizeWithCells="1">
              <from>
                <xdr:col>7</xdr:col>
                <xdr:colOff>381000</xdr:colOff>
                <xdr:row>23</xdr:row>
                <xdr:rowOff>12700</xdr:rowOff>
              </from>
              <to>
                <xdr:col>8</xdr:col>
                <xdr:colOff>6350</xdr:colOff>
                <xdr:row>24</xdr:row>
                <xdr:rowOff>0</xdr:rowOff>
              </to>
            </anchor>
          </controlPr>
        </control>
      </mc:Choice>
    </mc:AlternateContent>
    <mc:AlternateContent xmlns:mc="http://schemas.openxmlformats.org/markup-compatibility/2006">
      <mc:Choice Requires="x14">
        <control shapeId="1097" r:id="rId26" name="Spinner 73">
          <controlPr defaultSize="0" autoPict="0">
            <anchor moveWithCells="1" sizeWithCells="1">
              <from>
                <xdr:col>7</xdr:col>
                <xdr:colOff>381000</xdr:colOff>
                <xdr:row>23</xdr:row>
                <xdr:rowOff>12700</xdr:rowOff>
              </from>
              <to>
                <xdr:col>8</xdr:col>
                <xdr:colOff>6350</xdr:colOff>
                <xdr:row>23</xdr:row>
                <xdr:rowOff>260350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28ED4-BF68-4CCB-BF62-DC2EFAB2489C}">
  <sheetPr codeName="Sheet3"/>
  <dimension ref="B1:U38"/>
  <sheetViews>
    <sheetView tabSelected="1" zoomScale="85" zoomScaleNormal="85" workbookViewId="0">
      <selection activeCell="G5" sqref="G5:H5"/>
    </sheetView>
  </sheetViews>
  <sheetFormatPr defaultRowHeight="14.5" x14ac:dyDescent="0.35"/>
  <cols>
    <col min="1" max="5" width="8.7265625" customWidth="1"/>
    <col min="6" max="6" width="8.90625" customWidth="1"/>
    <col min="7" max="13" width="8.7265625" customWidth="1"/>
    <col min="14" max="14" width="9.1796875" customWidth="1"/>
    <col min="21" max="21" width="11.36328125" bestFit="1" customWidth="1"/>
  </cols>
  <sheetData>
    <row r="1" spans="2:21" ht="48" customHeight="1" x14ac:dyDescent="0.35">
      <c r="B1" s="57" t="s">
        <v>45</v>
      </c>
      <c r="C1" s="57"/>
      <c r="D1" s="57"/>
      <c r="E1" s="57"/>
      <c r="F1" s="57"/>
      <c r="G1" s="57"/>
      <c r="H1" s="57"/>
      <c r="I1" s="57"/>
      <c r="J1" s="57"/>
      <c r="K1" s="57"/>
      <c r="L1" s="57"/>
      <c r="M1" s="57"/>
      <c r="N1" s="57"/>
      <c r="O1" s="57"/>
      <c r="P1" s="57"/>
      <c r="Q1" s="57"/>
      <c r="R1" s="57"/>
      <c r="S1" s="57"/>
    </row>
    <row r="2" spans="2:21" ht="21.5" customHeight="1" x14ac:dyDescent="0.35">
      <c r="B2" s="58" t="s">
        <v>0</v>
      </c>
      <c r="C2" s="58"/>
      <c r="D2" s="58"/>
      <c r="E2" s="58"/>
      <c r="F2" s="58"/>
      <c r="G2" s="58"/>
      <c r="H2" s="58"/>
      <c r="I2" s="58"/>
      <c r="J2" s="58"/>
      <c r="K2" s="58"/>
      <c r="L2" s="58"/>
      <c r="M2" s="58"/>
      <c r="N2" s="58"/>
      <c r="O2" s="58"/>
      <c r="P2" s="58"/>
      <c r="Q2" s="58"/>
      <c r="R2" s="58"/>
      <c r="S2" s="58"/>
    </row>
    <row r="3" spans="2:21" ht="21.5" customHeight="1" x14ac:dyDescent="0.35">
      <c r="B3" s="58"/>
      <c r="C3" s="58"/>
      <c r="D3" s="58"/>
      <c r="E3" s="58"/>
      <c r="F3" s="58"/>
      <c r="G3" s="58"/>
      <c r="H3" s="58"/>
      <c r="I3" s="58"/>
      <c r="J3" s="58"/>
      <c r="K3" s="58"/>
      <c r="L3" s="58"/>
      <c r="M3" s="58"/>
      <c r="N3" s="58"/>
      <c r="O3" s="58"/>
      <c r="P3" s="58"/>
      <c r="Q3" s="58"/>
      <c r="R3" s="58"/>
      <c r="S3" s="58"/>
    </row>
    <row r="4" spans="2:21" s="1" customFormat="1" ht="20.5" customHeight="1" x14ac:dyDescent="0.35">
      <c r="B4" s="51"/>
      <c r="C4" s="51"/>
      <c r="D4" s="51"/>
      <c r="E4" s="51"/>
      <c r="F4" s="51"/>
      <c r="G4" s="3"/>
      <c r="H4" s="3"/>
      <c r="I4" s="3"/>
      <c r="J4" s="3"/>
      <c r="K4" s="3"/>
      <c r="L4" s="47"/>
      <c r="M4" s="47"/>
      <c r="N4" s="3"/>
      <c r="O4" s="47" t="s">
        <v>2</v>
      </c>
      <c r="P4" s="47"/>
      <c r="Q4" s="3"/>
      <c r="R4" s="3"/>
      <c r="S4" s="3"/>
    </row>
    <row r="5" spans="2:21" s="1" customFormat="1" ht="20.5" customHeight="1" x14ac:dyDescent="0.35">
      <c r="B5" s="3"/>
      <c r="C5" s="3"/>
      <c r="D5" s="21"/>
      <c r="E5" s="47" t="s">
        <v>42</v>
      </c>
      <c r="F5" s="56"/>
      <c r="G5" s="36" t="s">
        <v>44</v>
      </c>
      <c r="H5" s="37"/>
      <c r="I5" s="3"/>
      <c r="J5" s="3"/>
      <c r="K5" s="3"/>
      <c r="L5" s="3"/>
      <c r="M5" s="47" t="s">
        <v>8</v>
      </c>
      <c r="N5" s="55"/>
      <c r="O5" s="50">
        <v>67050</v>
      </c>
      <c r="P5" s="50"/>
      <c r="Q5" s="3"/>
      <c r="R5" s="3"/>
      <c r="S5" s="3"/>
    </row>
    <row r="6" spans="2:21" s="1" customFormat="1" ht="20.5" customHeight="1" x14ac:dyDescent="0.35">
      <c r="B6" s="3"/>
      <c r="C6" s="3"/>
      <c r="D6" s="3"/>
      <c r="E6" s="3"/>
      <c r="F6" s="47"/>
      <c r="G6" s="56"/>
      <c r="H6" s="3"/>
      <c r="I6" s="3"/>
      <c r="J6" s="3"/>
      <c r="K6" s="3"/>
      <c r="L6" s="3"/>
      <c r="M6" s="3"/>
      <c r="N6" s="3"/>
      <c r="O6" s="3"/>
      <c r="P6" s="3"/>
      <c r="Q6" s="3"/>
      <c r="R6" s="3"/>
      <c r="S6" s="3"/>
    </row>
    <row r="7" spans="2:21" s="2" customFormat="1" ht="26.5" customHeight="1" x14ac:dyDescent="0.5">
      <c r="B7" s="49" t="s">
        <v>3</v>
      </c>
      <c r="C7" s="49"/>
      <c r="D7" s="49"/>
      <c r="E7" s="49"/>
      <c r="F7" s="49"/>
      <c r="G7" s="49"/>
      <c r="H7" s="49"/>
      <c r="I7" s="49"/>
      <c r="J7" s="49"/>
      <c r="K7" s="49"/>
      <c r="L7" s="49"/>
      <c r="M7" s="49"/>
      <c r="N7" s="49"/>
      <c r="O7" s="49"/>
      <c r="P7" s="49"/>
      <c r="Q7" s="49"/>
      <c r="R7" s="49"/>
      <c r="S7" s="49"/>
    </row>
    <row r="8" spans="2:21" s="2" customFormat="1" ht="20.5" customHeight="1" x14ac:dyDescent="0.5">
      <c r="B8" s="19"/>
      <c r="C8" s="19"/>
      <c r="D8" s="19"/>
      <c r="E8" s="19"/>
      <c r="F8" s="19"/>
      <c r="G8" s="22"/>
      <c r="H8" s="19"/>
      <c r="I8" s="19"/>
      <c r="J8" s="3"/>
      <c r="K8" s="3"/>
      <c r="L8" s="19"/>
      <c r="M8" s="48" t="s">
        <v>2</v>
      </c>
      <c r="N8" s="48"/>
      <c r="O8" s="3"/>
      <c r="P8" s="3"/>
      <c r="Q8" s="3"/>
      <c r="R8" s="3"/>
      <c r="S8" s="3"/>
    </row>
    <row r="9" spans="2:21" s="1" customFormat="1" ht="20.5" customHeight="1" x14ac:dyDescent="0.35">
      <c r="B9" s="19"/>
      <c r="C9" s="19"/>
      <c r="D9" s="19"/>
      <c r="E9" s="19"/>
      <c r="F9" s="31" t="s">
        <v>9</v>
      </c>
      <c r="G9" s="31"/>
      <c r="H9" s="31"/>
      <c r="I9" s="19"/>
      <c r="J9" s="3"/>
      <c r="K9" s="3" t="s">
        <v>10</v>
      </c>
      <c r="L9" s="52">
        <v>9000</v>
      </c>
      <c r="M9" s="53"/>
      <c r="N9" s="54"/>
      <c r="O9" s="3"/>
      <c r="P9" s="3"/>
      <c r="Q9" s="19"/>
      <c r="R9" s="19"/>
      <c r="S9" s="19"/>
      <c r="U9" s="24"/>
    </row>
    <row r="10" spans="2:21" ht="20.5" customHeight="1" x14ac:dyDescent="0.35">
      <c r="B10" s="19"/>
      <c r="C10" s="19"/>
      <c r="D10" s="19"/>
      <c r="E10" s="19"/>
      <c r="F10" s="32" t="s">
        <v>11</v>
      </c>
      <c r="G10" s="32"/>
      <c r="H10" s="32"/>
      <c r="I10" s="20"/>
      <c r="J10" s="3"/>
      <c r="K10" s="3" t="s">
        <v>10</v>
      </c>
      <c r="L10" s="39">
        <v>0</v>
      </c>
      <c r="M10" s="40"/>
      <c r="N10" s="41"/>
      <c r="O10" s="3"/>
      <c r="P10" s="3"/>
      <c r="Q10" s="19"/>
      <c r="R10" s="19"/>
      <c r="S10" s="19"/>
    </row>
    <row r="11" spans="2:21" ht="20.5" customHeight="1" x14ac:dyDescent="0.35">
      <c r="B11" s="19"/>
      <c r="C11" s="19"/>
      <c r="D11" s="19"/>
      <c r="E11" s="19"/>
      <c r="F11" s="31" t="s">
        <v>12</v>
      </c>
      <c r="G11" s="31"/>
      <c r="H11" s="31"/>
      <c r="I11" s="19"/>
      <c r="J11" s="3"/>
      <c r="K11" s="3" t="s">
        <v>10</v>
      </c>
      <c r="L11" s="39">
        <v>4000</v>
      </c>
      <c r="M11" s="40"/>
      <c r="N11" s="41"/>
      <c r="O11" s="3"/>
      <c r="P11" s="3"/>
      <c r="Q11" s="19"/>
      <c r="R11" s="19"/>
      <c r="S11" s="19"/>
    </row>
    <row r="12" spans="2:21" ht="20.5" customHeight="1" x14ac:dyDescent="0.35">
      <c r="B12" s="19"/>
      <c r="C12" s="19"/>
      <c r="D12" s="19"/>
      <c r="E12" s="19"/>
      <c r="F12" s="32" t="s">
        <v>13</v>
      </c>
      <c r="G12" s="32"/>
      <c r="H12" s="32"/>
      <c r="I12" s="20"/>
      <c r="J12" s="3"/>
      <c r="K12" s="3" t="s">
        <v>10</v>
      </c>
      <c r="L12" s="39">
        <v>0</v>
      </c>
      <c r="M12" s="40"/>
      <c r="N12" s="41"/>
      <c r="O12" s="3"/>
      <c r="P12" s="3"/>
      <c r="Q12" s="19"/>
      <c r="R12" s="19"/>
      <c r="S12" s="19"/>
    </row>
    <row r="13" spans="2:21" ht="20.5" customHeight="1" x14ac:dyDescent="0.35">
      <c r="B13" s="19"/>
      <c r="C13" s="19"/>
      <c r="D13" s="19"/>
      <c r="E13" s="19"/>
      <c r="F13" s="32" t="s">
        <v>14</v>
      </c>
      <c r="G13" s="32"/>
      <c r="H13" s="32"/>
      <c r="I13" s="20"/>
      <c r="J13" s="3"/>
      <c r="K13" s="3" t="s">
        <v>10</v>
      </c>
      <c r="L13" s="28">
        <v>250</v>
      </c>
      <c r="M13" s="29"/>
      <c r="N13" s="30"/>
      <c r="O13" s="3"/>
      <c r="P13" s="7"/>
      <c r="Q13" s="19"/>
      <c r="R13" s="19"/>
      <c r="S13" s="19"/>
    </row>
    <row r="14" spans="2:21" ht="20.5" customHeight="1" x14ac:dyDescent="0.35">
      <c r="B14" s="19"/>
      <c r="C14" s="19"/>
      <c r="D14" s="19"/>
      <c r="E14" s="19"/>
      <c r="F14" s="32" t="s">
        <v>15</v>
      </c>
      <c r="G14" s="32"/>
      <c r="H14" s="32"/>
      <c r="I14" s="20"/>
      <c r="J14" s="3"/>
      <c r="K14" s="3" t="s">
        <v>10</v>
      </c>
      <c r="L14" s="28">
        <v>400</v>
      </c>
      <c r="M14" s="29"/>
      <c r="N14" s="30"/>
      <c r="O14" s="3"/>
      <c r="P14" s="3"/>
      <c r="Q14" s="19"/>
      <c r="R14" s="19"/>
      <c r="S14" s="19"/>
    </row>
    <row r="15" spans="2:21" ht="20.5" customHeight="1" x14ac:dyDescent="0.35">
      <c r="B15" s="19"/>
      <c r="C15" s="19"/>
      <c r="D15" s="19"/>
      <c r="E15" s="19"/>
      <c r="F15" s="32" t="s">
        <v>16</v>
      </c>
      <c r="G15" s="32"/>
      <c r="H15" s="32"/>
      <c r="I15" s="32"/>
      <c r="J15" s="3"/>
      <c r="K15" s="3" t="s">
        <v>10</v>
      </c>
      <c r="L15" s="42">
        <v>300</v>
      </c>
      <c r="M15" s="43"/>
      <c r="N15" s="44"/>
      <c r="O15" s="3"/>
      <c r="P15" s="3"/>
      <c r="Q15" s="19"/>
      <c r="R15" s="19"/>
      <c r="S15" s="19"/>
    </row>
    <row r="16" spans="2:21" ht="20.5" customHeight="1" x14ac:dyDescent="0.35">
      <c r="B16" s="19"/>
      <c r="C16" s="19"/>
      <c r="D16" s="19"/>
      <c r="E16" s="19"/>
      <c r="F16" s="32" t="s">
        <v>17</v>
      </c>
      <c r="G16" s="32"/>
      <c r="H16" s="32"/>
      <c r="I16" s="32"/>
      <c r="J16" s="3"/>
      <c r="K16" s="3" t="s">
        <v>10</v>
      </c>
      <c r="L16" s="28">
        <v>1000</v>
      </c>
      <c r="M16" s="29"/>
      <c r="N16" s="30"/>
      <c r="O16" s="3"/>
      <c r="P16" s="3"/>
      <c r="Q16" s="19"/>
      <c r="R16" s="19"/>
      <c r="S16" s="19"/>
    </row>
    <row r="17" spans="2:19" ht="20.5" customHeight="1" x14ac:dyDescent="0.35">
      <c r="B17" s="19"/>
      <c r="C17" s="19"/>
      <c r="D17" s="19"/>
      <c r="E17" s="19"/>
      <c r="F17" s="32" t="s">
        <v>26</v>
      </c>
      <c r="G17" s="32"/>
      <c r="H17" s="32"/>
      <c r="I17" s="32"/>
      <c r="J17" s="32"/>
      <c r="K17" s="3" t="s">
        <v>10</v>
      </c>
      <c r="L17" s="28">
        <v>0</v>
      </c>
      <c r="M17" s="29"/>
      <c r="N17" s="30"/>
      <c r="O17" s="3"/>
      <c r="P17" s="3"/>
      <c r="Q17" s="19"/>
      <c r="R17" s="19"/>
      <c r="S17" s="19"/>
    </row>
    <row r="18" spans="2:19" ht="20.5" customHeight="1" x14ac:dyDescent="0.35">
      <c r="B18" s="19"/>
      <c r="C18" s="19"/>
      <c r="D18" s="19"/>
      <c r="E18" s="19"/>
      <c r="F18" s="19"/>
      <c r="G18" s="19"/>
      <c r="H18" s="19"/>
      <c r="I18" s="19"/>
      <c r="J18" s="3"/>
      <c r="K18" s="3"/>
      <c r="L18" s="3"/>
      <c r="M18" s="3"/>
      <c r="N18" s="3"/>
      <c r="O18" s="3"/>
      <c r="P18" s="3"/>
      <c r="Q18" s="3"/>
      <c r="R18" s="3"/>
      <c r="S18" s="3"/>
    </row>
    <row r="19" spans="2:19" ht="26" customHeight="1" x14ac:dyDescent="0.4">
      <c r="B19" s="19"/>
      <c r="C19" s="49" t="s">
        <v>4</v>
      </c>
      <c r="D19" s="49"/>
      <c r="E19" s="49"/>
      <c r="F19" s="49"/>
      <c r="G19" s="49"/>
      <c r="H19" s="49"/>
      <c r="I19" s="49"/>
      <c r="J19" s="3"/>
      <c r="K19" s="49" t="s">
        <v>5</v>
      </c>
      <c r="L19" s="49"/>
      <c r="M19" s="49"/>
      <c r="N19" s="49"/>
      <c r="O19" s="49"/>
      <c r="P19" s="49"/>
      <c r="Q19" s="49"/>
      <c r="R19" s="49"/>
      <c r="S19" s="6"/>
    </row>
    <row r="20" spans="2:19" ht="20.5" customHeight="1" x14ac:dyDescent="0.35">
      <c r="B20" s="19"/>
      <c r="C20" s="19"/>
      <c r="D20" s="19"/>
      <c r="E20" s="19"/>
      <c r="F20" s="19"/>
      <c r="G20" s="3"/>
      <c r="H20" s="59" t="s">
        <v>2</v>
      </c>
      <c r="I20" s="59"/>
      <c r="J20" s="3"/>
      <c r="K20" s="6"/>
      <c r="L20" s="6"/>
      <c r="M20" s="6"/>
      <c r="N20" s="6"/>
      <c r="O20" s="6"/>
      <c r="P20" s="6"/>
      <c r="Q20" s="6"/>
      <c r="R20" s="6"/>
      <c r="S20" s="6"/>
    </row>
    <row r="21" spans="2:19" ht="20.5" customHeight="1" x14ac:dyDescent="0.35">
      <c r="B21" s="19"/>
      <c r="C21" s="31" t="s">
        <v>34</v>
      </c>
      <c r="D21" s="31"/>
      <c r="E21" s="31"/>
      <c r="F21" s="31"/>
      <c r="G21" s="3" t="s">
        <v>10</v>
      </c>
      <c r="H21" s="27">
        <v>2188</v>
      </c>
      <c r="I21" s="27"/>
      <c r="J21" s="19"/>
      <c r="K21" s="3"/>
      <c r="L21" s="6"/>
      <c r="M21" s="6"/>
      <c r="N21" s="6"/>
      <c r="O21" s="6"/>
      <c r="P21" s="6"/>
      <c r="Q21" s="22"/>
      <c r="R21" s="22" t="s">
        <v>2</v>
      </c>
      <c r="S21" s="3"/>
    </row>
    <row r="22" spans="2:19" ht="20.5" customHeight="1" x14ac:dyDescent="0.35">
      <c r="B22" s="19"/>
      <c r="C22" s="31" t="s">
        <v>21</v>
      </c>
      <c r="D22" s="31"/>
      <c r="E22" s="31"/>
      <c r="F22" s="19"/>
      <c r="G22" s="3" t="s">
        <v>10</v>
      </c>
      <c r="H22" s="27">
        <v>1550</v>
      </c>
      <c r="I22" s="27"/>
      <c r="J22" s="19"/>
      <c r="K22" s="31" t="s">
        <v>37</v>
      </c>
      <c r="L22" s="31"/>
      <c r="M22" s="31"/>
      <c r="N22" s="31"/>
      <c r="O22" s="31"/>
      <c r="P22" s="10" t="s">
        <v>10</v>
      </c>
      <c r="Q22" s="27">
        <v>350</v>
      </c>
      <c r="R22" s="27"/>
      <c r="S22" s="3"/>
    </row>
    <row r="23" spans="2:19" ht="20.5" customHeight="1" x14ac:dyDescent="0.35">
      <c r="B23" s="19"/>
      <c r="C23" s="31" t="s">
        <v>22</v>
      </c>
      <c r="D23" s="31"/>
      <c r="E23" s="31"/>
      <c r="F23" s="19"/>
      <c r="G23" s="3" t="s">
        <v>10</v>
      </c>
      <c r="H23" s="27">
        <v>0</v>
      </c>
      <c r="I23" s="27"/>
      <c r="J23" s="19"/>
      <c r="K23" s="31" t="s">
        <v>27</v>
      </c>
      <c r="L23" s="31"/>
      <c r="M23" s="31"/>
      <c r="N23" s="31"/>
      <c r="O23" s="6"/>
      <c r="P23" s="3" t="s">
        <v>10</v>
      </c>
      <c r="Q23" s="27">
        <v>0</v>
      </c>
      <c r="R23" s="27"/>
      <c r="S23" s="3"/>
    </row>
    <row r="24" spans="2:19" ht="20.5" customHeight="1" x14ac:dyDescent="0.35">
      <c r="B24" s="19"/>
      <c r="C24" s="31" t="s">
        <v>23</v>
      </c>
      <c r="D24" s="31"/>
      <c r="E24" s="31"/>
      <c r="F24" s="19"/>
      <c r="G24" s="3" t="s">
        <v>10</v>
      </c>
      <c r="H24" s="23">
        <v>1</v>
      </c>
      <c r="I24" s="18">
        <f>PRODUCT(H24,2000)</f>
        <v>2000</v>
      </c>
      <c r="J24" s="19"/>
      <c r="K24" s="31" t="s">
        <v>28</v>
      </c>
      <c r="L24" s="31"/>
      <c r="M24" s="31"/>
      <c r="N24" s="31"/>
      <c r="O24" s="6"/>
      <c r="P24" s="3" t="s">
        <v>10</v>
      </c>
      <c r="Q24" s="60">
        <v>1500</v>
      </c>
      <c r="R24" s="60"/>
      <c r="S24" s="3"/>
    </row>
    <row r="25" spans="2:19" ht="20.5" customHeight="1" x14ac:dyDescent="0.35">
      <c r="B25" s="19"/>
      <c r="C25" s="31" t="s">
        <v>35</v>
      </c>
      <c r="D25" s="31"/>
      <c r="E25" s="31"/>
      <c r="F25" s="31"/>
      <c r="G25" s="17" t="s">
        <v>10</v>
      </c>
      <c r="H25" s="23">
        <v>1</v>
      </c>
      <c r="I25" s="18">
        <f>PRODUCT(H25,8000)</f>
        <v>8000</v>
      </c>
      <c r="J25" s="19"/>
      <c r="K25" s="31" t="s">
        <v>29</v>
      </c>
      <c r="L25" s="31"/>
      <c r="M25" s="31"/>
      <c r="N25" s="31"/>
      <c r="O25" s="6"/>
      <c r="P25" s="3" t="s">
        <v>10</v>
      </c>
      <c r="Q25" s="23">
        <v>0</v>
      </c>
      <c r="R25" s="18">
        <f>PRODUCT(Q25,6000)</f>
        <v>0</v>
      </c>
      <c r="S25" s="3"/>
    </row>
    <row r="26" spans="2:19" ht="20.5" customHeight="1" x14ac:dyDescent="0.35">
      <c r="B26" s="19"/>
      <c r="C26" s="31" t="s">
        <v>24</v>
      </c>
      <c r="D26" s="31"/>
      <c r="E26" s="31"/>
      <c r="F26" s="19"/>
      <c r="G26" s="3" t="s">
        <v>10</v>
      </c>
      <c r="H26" s="27">
        <v>2000</v>
      </c>
      <c r="I26" s="27"/>
      <c r="J26" s="19"/>
      <c r="K26" s="31" t="s">
        <v>30</v>
      </c>
      <c r="L26" s="31"/>
      <c r="M26" s="31"/>
      <c r="N26" s="31"/>
      <c r="O26" s="31"/>
      <c r="P26" s="3" t="s">
        <v>10</v>
      </c>
      <c r="Q26" s="23">
        <v>0</v>
      </c>
      <c r="R26" s="18">
        <f>PRODUCT(Q26,14000)</f>
        <v>0</v>
      </c>
      <c r="S26" s="3"/>
    </row>
    <row r="27" spans="2:19" ht="20.5" customHeight="1" x14ac:dyDescent="0.35">
      <c r="B27" s="19"/>
      <c r="C27" s="31" t="s">
        <v>36</v>
      </c>
      <c r="D27" s="31"/>
      <c r="E27" s="31"/>
      <c r="F27" s="31"/>
      <c r="G27" s="17" t="s">
        <v>10</v>
      </c>
      <c r="H27" s="27">
        <v>0</v>
      </c>
      <c r="I27" s="27"/>
      <c r="J27" s="19"/>
      <c r="K27" s="31" t="s">
        <v>31</v>
      </c>
      <c r="L27" s="31"/>
      <c r="M27" s="31"/>
      <c r="N27" s="31"/>
      <c r="O27" s="31"/>
      <c r="P27" s="3" t="s">
        <v>10</v>
      </c>
      <c r="Q27" s="27">
        <v>0</v>
      </c>
      <c r="R27" s="27"/>
      <c r="S27" s="3"/>
    </row>
    <row r="28" spans="2:19" ht="20.5" customHeight="1" x14ac:dyDescent="0.35">
      <c r="B28" s="19"/>
      <c r="C28" s="31" t="s">
        <v>25</v>
      </c>
      <c r="D28" s="31"/>
      <c r="E28" s="31"/>
      <c r="F28" s="31"/>
      <c r="G28" s="3" t="s">
        <v>10</v>
      </c>
      <c r="H28" s="27">
        <v>500</v>
      </c>
      <c r="I28" s="27"/>
      <c r="J28" s="19"/>
      <c r="K28" s="19"/>
      <c r="L28" s="19"/>
      <c r="M28" s="19"/>
      <c r="N28" s="19"/>
      <c r="O28" s="6"/>
      <c r="P28" s="6"/>
      <c r="Q28" s="6"/>
      <c r="R28" s="6"/>
      <c r="S28" s="3"/>
    </row>
    <row r="29" spans="2:19" ht="20.5" customHeight="1" x14ac:dyDescent="0.35">
      <c r="B29" s="19"/>
      <c r="C29" s="32" t="s">
        <v>33</v>
      </c>
      <c r="D29" s="32"/>
      <c r="E29" s="32"/>
      <c r="F29" s="32"/>
      <c r="G29" s="3" t="s">
        <v>10</v>
      </c>
      <c r="H29" s="27">
        <v>0</v>
      </c>
      <c r="I29" s="27"/>
      <c r="J29" s="19"/>
      <c r="K29" s="19"/>
      <c r="L29" s="19"/>
      <c r="M29" s="19"/>
      <c r="N29" s="19"/>
      <c r="O29" s="6"/>
      <c r="P29" s="6"/>
      <c r="Q29" s="6"/>
      <c r="R29" s="6"/>
      <c r="S29" s="3"/>
    </row>
    <row r="30" spans="2:19" ht="20.5" customHeight="1" x14ac:dyDescent="0.35">
      <c r="B30" s="19"/>
      <c r="C30" s="19"/>
      <c r="D30" s="19"/>
      <c r="E30" s="19"/>
      <c r="F30" s="19"/>
      <c r="G30" s="19"/>
      <c r="H30" s="19"/>
      <c r="I30" s="19"/>
      <c r="J30" s="6"/>
      <c r="K30" s="6"/>
      <c r="L30" s="6"/>
      <c r="M30" s="6"/>
      <c r="N30" s="6"/>
      <c r="O30" s="6"/>
      <c r="P30" s="6"/>
      <c r="Q30" s="6"/>
      <c r="R30" s="6"/>
      <c r="S30" s="3"/>
    </row>
    <row r="31" spans="2:19" ht="20.5" customHeight="1" x14ac:dyDescent="0.4">
      <c r="B31" s="49" t="s">
        <v>1</v>
      </c>
      <c r="C31" s="49"/>
      <c r="D31" s="49"/>
      <c r="E31" s="49"/>
      <c r="F31" s="49"/>
      <c r="G31" s="49"/>
      <c r="H31" s="49"/>
      <c r="I31" s="49"/>
      <c r="J31" s="49"/>
      <c r="K31" s="49"/>
      <c r="L31" s="49"/>
      <c r="M31" s="49"/>
      <c r="N31" s="49"/>
      <c r="O31" s="49"/>
      <c r="P31" s="49"/>
      <c r="Q31" s="49"/>
      <c r="R31" s="49"/>
      <c r="S31" s="49"/>
    </row>
    <row r="32" spans="2:19" ht="20.5" customHeight="1" x14ac:dyDescent="0.35">
      <c r="B32" s="19"/>
      <c r="C32" s="19"/>
      <c r="D32" s="19"/>
      <c r="E32" s="19"/>
      <c r="F32" s="19"/>
      <c r="G32" s="19"/>
      <c r="H32" s="19"/>
      <c r="I32" s="22" t="s">
        <v>2</v>
      </c>
      <c r="J32" s="19"/>
      <c r="K32" s="6"/>
      <c r="L32" s="6"/>
      <c r="M32" s="6"/>
      <c r="N32" s="6"/>
      <c r="O32" s="6"/>
      <c r="P32" s="6"/>
      <c r="Q32" s="6"/>
      <c r="R32" s="6"/>
      <c r="S32" s="3"/>
    </row>
    <row r="33" spans="2:19" ht="20.5" customHeight="1" x14ac:dyDescent="0.35">
      <c r="B33" s="19"/>
      <c r="C33" s="19"/>
      <c r="D33" s="31" t="s">
        <v>18</v>
      </c>
      <c r="E33" s="31"/>
      <c r="F33" s="31"/>
      <c r="G33" s="3" t="s">
        <v>10</v>
      </c>
      <c r="H33" s="33">
        <f>O5</f>
        <v>67050</v>
      </c>
      <c r="I33" s="34"/>
      <c r="J33" s="19"/>
      <c r="K33" s="19"/>
      <c r="L33" s="19"/>
      <c r="M33" s="19"/>
      <c r="N33" s="45" t="s">
        <v>32</v>
      </c>
      <c r="O33" s="45"/>
      <c r="P33" s="45"/>
      <c r="Q33" s="45"/>
      <c r="R33" s="6"/>
      <c r="S33" s="7"/>
    </row>
    <row r="34" spans="2:19" ht="20.5" customHeight="1" x14ac:dyDescent="0.35">
      <c r="B34" s="19"/>
      <c r="C34" s="19"/>
      <c r="D34" s="31" t="s">
        <v>19</v>
      </c>
      <c r="E34" s="31"/>
      <c r="F34" s="31"/>
      <c r="G34" s="3" t="s">
        <v>10</v>
      </c>
      <c r="H34" s="33">
        <f>SUM(L9:N17) +SUM(H21:I23,I24,I25,H26:I29) +SUM(Q22:R23,Q24,R25,R26,Q27)</f>
        <v>33038</v>
      </c>
      <c r="I34" s="34"/>
      <c r="J34" s="19"/>
      <c r="K34" s="19"/>
      <c r="L34" s="19"/>
      <c r="M34" s="19"/>
      <c r="N34" s="46" t="s">
        <v>2</v>
      </c>
      <c r="O34" s="38">
        <v>570</v>
      </c>
      <c r="P34" s="38"/>
      <c r="Q34" s="19"/>
      <c r="R34" s="19"/>
      <c r="S34" s="3"/>
    </row>
    <row r="35" spans="2:19" ht="20.5" customHeight="1" x14ac:dyDescent="0.35">
      <c r="B35" s="19"/>
      <c r="C35" s="19"/>
      <c r="D35" s="31" t="s">
        <v>20</v>
      </c>
      <c r="E35" s="31"/>
      <c r="F35" s="31"/>
      <c r="G35" s="3" t="s">
        <v>10</v>
      </c>
      <c r="H35" s="35">
        <f>IF(H33&lt;5000,0,IF(H33 &lt;= H34, 0,H33-H34))</f>
        <v>34012</v>
      </c>
      <c r="I35" s="35"/>
      <c r="J35" s="19"/>
      <c r="K35" s="19"/>
      <c r="L35" s="19"/>
      <c r="M35" s="19"/>
      <c r="N35" s="46"/>
      <c r="O35" s="38"/>
      <c r="P35" s="38"/>
      <c r="Q35" s="19"/>
      <c r="R35" s="19"/>
      <c r="S35" s="3"/>
    </row>
    <row r="36" spans="2:19" ht="20.5" customHeight="1" x14ac:dyDescent="0.35">
      <c r="B36" s="14"/>
      <c r="C36" s="14"/>
      <c r="D36" s="14"/>
      <c r="E36" s="14"/>
      <c r="F36" s="14"/>
      <c r="G36" s="14"/>
      <c r="H36" s="14"/>
      <c r="I36" s="14"/>
      <c r="J36" s="14"/>
      <c r="K36" s="14"/>
      <c r="L36" s="6"/>
      <c r="M36" s="6"/>
      <c r="N36" s="6"/>
      <c r="O36" s="6"/>
      <c r="P36" s="6"/>
      <c r="Q36" s="6"/>
      <c r="R36" s="6"/>
      <c r="S36" s="3"/>
    </row>
    <row r="37" spans="2:19" ht="20.5" customHeight="1" x14ac:dyDescent="0.35">
      <c r="B37" s="11"/>
      <c r="C37" s="11"/>
      <c r="D37" s="11"/>
      <c r="E37" s="11"/>
      <c r="F37" s="11"/>
      <c r="G37" s="11"/>
      <c r="H37" s="11"/>
      <c r="I37" s="13"/>
      <c r="J37" s="12"/>
      <c r="K37" s="12"/>
      <c r="L37" s="12"/>
      <c r="M37" s="12"/>
      <c r="N37" s="12"/>
      <c r="O37" s="12"/>
      <c r="P37" s="12"/>
      <c r="Q37" s="12"/>
      <c r="R37" s="12"/>
      <c r="S37" s="12"/>
    </row>
    <row r="38" spans="2:19" ht="20.5" customHeight="1" x14ac:dyDescent="0.35"/>
  </sheetData>
  <sheetProtection sheet="1" objects="1" scenarios="1" selectLockedCells="1"/>
  <mergeCells count="69">
    <mergeCell ref="F10:H10"/>
    <mergeCell ref="L10:N10"/>
    <mergeCell ref="B2:S3"/>
    <mergeCell ref="B4:F4"/>
    <mergeCell ref="L4:M4"/>
    <mergeCell ref="O4:P4"/>
    <mergeCell ref="E5:F5"/>
    <mergeCell ref="G5:H5"/>
    <mergeCell ref="M5:N5"/>
    <mergeCell ref="O5:P5"/>
    <mergeCell ref="B1:S1"/>
    <mergeCell ref="F6:G6"/>
    <mergeCell ref="B7:S7"/>
    <mergeCell ref="M8:N8"/>
    <mergeCell ref="F9:H9"/>
    <mergeCell ref="L9:N9"/>
    <mergeCell ref="F11:H11"/>
    <mergeCell ref="L11:N11"/>
    <mergeCell ref="F12:H12"/>
    <mergeCell ref="L12:N12"/>
    <mergeCell ref="F13:H13"/>
    <mergeCell ref="L13:N13"/>
    <mergeCell ref="C21:F21"/>
    <mergeCell ref="H21:I21"/>
    <mergeCell ref="F14:H14"/>
    <mergeCell ref="L14:N14"/>
    <mergeCell ref="F15:I15"/>
    <mergeCell ref="L15:N15"/>
    <mergeCell ref="F16:I16"/>
    <mergeCell ref="L16:N16"/>
    <mergeCell ref="F17:J17"/>
    <mergeCell ref="L17:N17"/>
    <mergeCell ref="C19:I19"/>
    <mergeCell ref="K19:R19"/>
    <mergeCell ref="H20:I20"/>
    <mergeCell ref="Q22:R22"/>
    <mergeCell ref="C23:E23"/>
    <mergeCell ref="H23:I23"/>
    <mergeCell ref="K23:N23"/>
    <mergeCell ref="Q23:R23"/>
    <mergeCell ref="C22:E22"/>
    <mergeCell ref="H22:I22"/>
    <mergeCell ref="K22:O22"/>
    <mergeCell ref="C24:E24"/>
    <mergeCell ref="K24:N24"/>
    <mergeCell ref="Q24:R24"/>
    <mergeCell ref="C25:F25"/>
    <mergeCell ref="K25:N25"/>
    <mergeCell ref="C27:F27"/>
    <mergeCell ref="H27:I27"/>
    <mergeCell ref="K27:O27"/>
    <mergeCell ref="Q27:R27"/>
    <mergeCell ref="C26:E26"/>
    <mergeCell ref="H26:I26"/>
    <mergeCell ref="K26:O26"/>
    <mergeCell ref="C28:F28"/>
    <mergeCell ref="H28:I28"/>
    <mergeCell ref="C29:F29"/>
    <mergeCell ref="H29:I29"/>
    <mergeCell ref="B31:S31"/>
    <mergeCell ref="D33:F33"/>
    <mergeCell ref="H33:I33"/>
    <mergeCell ref="N33:Q33"/>
    <mergeCell ref="D34:F34"/>
    <mergeCell ref="H34:I34"/>
    <mergeCell ref="N34:N35"/>
    <mergeCell ref="O34:P35"/>
    <mergeCell ref="D35:F35"/>
    <mergeCell ref="H35:I35"/>
  </mergeCells>
  <pageMargins left="0.7" right="0.7" top="0.75" bottom="0.75" header="0.3" footer="0.3"/>
  <pageSetup orientation="portrait" r:id="rId1"/>
  <drawing r:id="rId2"/>
  <legacyDrawing r:id="rId3"/>
  <controls>
    <mc:AlternateContent xmlns:mc="http://schemas.openxmlformats.org/markup-compatibility/2006">
      <mc:Choice Requires="x14">
        <control shapeId="4097" r:id="rId4" name="yesNo_cmb">
          <controlPr locked="0" defaultSize="0" autoLine="0" listFillRange="'Income Tax Form'!$U$26:$U$27" r:id="rId5">
            <anchor moveWithCells="1">
              <from>
                <xdr:col>11</xdr:col>
                <xdr:colOff>6350</xdr:colOff>
                <xdr:row>9</xdr:row>
                <xdr:rowOff>6350</xdr:rowOff>
              </from>
              <to>
                <xdr:col>12</xdr:col>
                <xdr:colOff>323850</xdr:colOff>
                <xdr:row>9</xdr:row>
                <xdr:rowOff>254000</xdr:rowOff>
              </to>
            </anchor>
          </controlPr>
        </control>
      </mc:Choice>
      <mc:Fallback>
        <control shapeId="4097" r:id="rId4" name="yesNo_cmb"/>
      </mc:Fallback>
    </mc:AlternateContent>
    <mc:AlternateContent xmlns:mc="http://schemas.openxmlformats.org/markup-compatibility/2006">
      <mc:Choice Requires="x14">
        <control shapeId="4098" r:id="rId6" name="yesNo_cmb2">
          <controlPr locked="0" defaultSize="0" autoLine="0" listFillRange="'Income Tax Form'!$U$26:$U$27" r:id="rId7">
            <anchor moveWithCells="1">
              <from>
                <xdr:col>11</xdr:col>
                <xdr:colOff>6350</xdr:colOff>
                <xdr:row>9</xdr:row>
                <xdr:rowOff>254000</xdr:rowOff>
              </from>
              <to>
                <xdr:col>12</xdr:col>
                <xdr:colOff>323850</xdr:colOff>
                <xdr:row>11</xdr:row>
                <xdr:rowOff>0</xdr:rowOff>
              </to>
            </anchor>
          </controlPr>
        </control>
      </mc:Choice>
      <mc:Fallback>
        <control shapeId="4098" r:id="rId6" name="yesNo_cmb2"/>
      </mc:Fallback>
    </mc:AlternateContent>
    <mc:AlternateContent xmlns:mc="http://schemas.openxmlformats.org/markup-compatibility/2006">
      <mc:Choice Requires="x14">
        <control shapeId="4099" r:id="rId8" name="yesNo_cmb3">
          <controlPr locked="0" defaultSize="0" autoLine="0" listFillRange="'Income Tax Form'!$U$26:$U$27" r:id="rId9">
            <anchor moveWithCells="1">
              <from>
                <xdr:col>11</xdr:col>
                <xdr:colOff>6350</xdr:colOff>
                <xdr:row>11</xdr:row>
                <xdr:rowOff>0</xdr:rowOff>
              </from>
              <to>
                <xdr:col>12</xdr:col>
                <xdr:colOff>330200</xdr:colOff>
                <xdr:row>12</xdr:row>
                <xdr:rowOff>0</xdr:rowOff>
              </to>
            </anchor>
          </controlPr>
        </control>
      </mc:Choice>
      <mc:Fallback>
        <control shapeId="4099" r:id="rId8" name="yesNo_cmb3"/>
      </mc:Fallback>
    </mc:AlternateContent>
    <mc:AlternateContent xmlns:mc="http://schemas.openxmlformats.org/markup-compatibility/2006">
      <mc:Choice Requires="x14">
        <control shapeId="4100" r:id="rId10" name="btnCalculate">
          <controlPr defaultSize="0" autoFill="0" autoLine="0" r:id="rId11">
            <anchor moveWithCells="1">
              <from>
                <xdr:col>10</xdr:col>
                <xdr:colOff>431800</xdr:colOff>
                <xdr:row>33</xdr:row>
                <xdr:rowOff>50800</xdr:rowOff>
              </from>
              <to>
                <xdr:col>12</xdr:col>
                <xdr:colOff>552450</xdr:colOff>
                <xdr:row>35</xdr:row>
                <xdr:rowOff>12700</xdr:rowOff>
              </to>
            </anchor>
          </controlPr>
        </control>
      </mc:Choice>
      <mc:Fallback>
        <control shapeId="4100" r:id="rId10" name="btnCalculate"/>
      </mc:Fallback>
    </mc:AlternateContent>
    <mc:AlternateContent xmlns:mc="http://schemas.openxmlformats.org/markup-compatibility/2006">
      <mc:Choice Requires="x14">
        <control shapeId="4110" r:id="rId12" name="ComboBox1">
          <controlPr locked="0" defaultSize="0" autoLine="0" listFillRange="'Income Tax Form'!$U$22:$U$25" r:id="rId13">
            <anchor moveWithCells="1">
              <from>
                <xdr:col>16</xdr:col>
                <xdr:colOff>6350</xdr:colOff>
                <xdr:row>23</xdr:row>
                <xdr:rowOff>12700</xdr:rowOff>
              </from>
              <to>
                <xdr:col>17</xdr:col>
                <xdr:colOff>133350</xdr:colOff>
                <xdr:row>24</xdr:row>
                <xdr:rowOff>6350</xdr:rowOff>
              </to>
            </anchor>
          </controlPr>
        </control>
      </mc:Choice>
      <mc:Fallback>
        <control shapeId="4110" r:id="rId12" name="ComboBox1"/>
      </mc:Fallback>
    </mc:AlternateContent>
    <mc:AlternateContent xmlns:mc="http://schemas.openxmlformats.org/markup-compatibility/2006">
      <mc:Choice Requires="x14">
        <control shapeId="4111" r:id="rId14" name="btnClear">
          <controlPr defaultSize="0" autoLine="0" r:id="rId15">
            <anchor moveWithCells="1">
              <from>
                <xdr:col>11</xdr:col>
                <xdr:colOff>88900</xdr:colOff>
                <xdr:row>31</xdr:row>
                <xdr:rowOff>139700</xdr:rowOff>
              </from>
              <to>
                <xdr:col>12</xdr:col>
                <xdr:colOff>273050</xdr:colOff>
                <xdr:row>32</xdr:row>
                <xdr:rowOff>247650</xdr:rowOff>
              </to>
            </anchor>
          </controlPr>
        </control>
      </mc:Choice>
      <mc:Fallback>
        <control shapeId="4111" r:id="rId14" name="btnClear"/>
      </mc:Fallback>
    </mc:AlternateContent>
    <mc:AlternateContent xmlns:mc="http://schemas.openxmlformats.org/markup-compatibility/2006">
      <mc:Choice Requires="x14">
        <control shapeId="4101" r:id="rId16" name="Spinner 5">
          <controlPr defaultSize="0" autoPict="0" macro="[0]!Spinner57_Change">
            <anchor moveWithCells="1" sizeWithCells="1">
              <from>
                <xdr:col>7</xdr:col>
                <xdr:colOff>381000</xdr:colOff>
                <xdr:row>23</xdr:row>
                <xdr:rowOff>12700</xdr:rowOff>
              </from>
              <to>
                <xdr:col>8</xdr:col>
                <xdr:colOff>6350</xdr:colOff>
                <xdr:row>23</xdr:row>
                <xdr:rowOff>260350</xdr:rowOff>
              </to>
            </anchor>
          </controlPr>
        </control>
      </mc:Choice>
    </mc:AlternateContent>
    <mc:AlternateContent xmlns:mc="http://schemas.openxmlformats.org/markup-compatibility/2006">
      <mc:Choice Requires="x14">
        <control shapeId="4102" r:id="rId17" name="Spinner 6">
          <controlPr defaultSize="0" autoPict="0">
            <anchor moveWithCells="1" sizeWithCells="1">
              <from>
                <xdr:col>7</xdr:col>
                <xdr:colOff>381000</xdr:colOff>
                <xdr:row>24</xdr:row>
                <xdr:rowOff>12700</xdr:rowOff>
              </from>
              <to>
                <xdr:col>8</xdr:col>
                <xdr:colOff>6350</xdr:colOff>
                <xdr:row>25</xdr:row>
                <xdr:rowOff>0</xdr:rowOff>
              </to>
            </anchor>
          </controlPr>
        </control>
      </mc:Choice>
    </mc:AlternateContent>
    <mc:AlternateContent xmlns:mc="http://schemas.openxmlformats.org/markup-compatibility/2006">
      <mc:Choice Requires="x14">
        <control shapeId="4103" r:id="rId18" name="Spinner 7">
          <controlPr defaultSize="0" autoPict="0">
            <anchor moveWithCells="1" sizeWithCells="1">
              <from>
                <xdr:col>7</xdr:col>
                <xdr:colOff>381000</xdr:colOff>
                <xdr:row>24</xdr:row>
                <xdr:rowOff>12700</xdr:rowOff>
              </from>
              <to>
                <xdr:col>8</xdr:col>
                <xdr:colOff>6350</xdr:colOff>
                <xdr:row>24</xdr:row>
                <xdr:rowOff>260350</xdr:rowOff>
              </to>
            </anchor>
          </controlPr>
        </control>
      </mc:Choice>
    </mc:AlternateContent>
    <mc:AlternateContent xmlns:mc="http://schemas.openxmlformats.org/markup-compatibility/2006">
      <mc:Choice Requires="x14">
        <control shapeId="4104" r:id="rId19" name="Spinner 8">
          <controlPr defaultSize="0" autoPict="0">
            <anchor moveWithCells="1" sizeWithCells="1">
              <from>
                <xdr:col>16</xdr:col>
                <xdr:colOff>381000</xdr:colOff>
                <xdr:row>25</xdr:row>
                <xdr:rowOff>12700</xdr:rowOff>
              </from>
              <to>
                <xdr:col>17</xdr:col>
                <xdr:colOff>6350</xdr:colOff>
                <xdr:row>26</xdr:row>
                <xdr:rowOff>0</xdr:rowOff>
              </to>
            </anchor>
          </controlPr>
        </control>
      </mc:Choice>
    </mc:AlternateContent>
    <mc:AlternateContent xmlns:mc="http://schemas.openxmlformats.org/markup-compatibility/2006">
      <mc:Choice Requires="x14">
        <control shapeId="4105" r:id="rId20" name="Spinner 9">
          <controlPr defaultSize="0" autoPict="0">
            <anchor moveWithCells="1" sizeWithCells="1">
              <from>
                <xdr:col>16</xdr:col>
                <xdr:colOff>381000</xdr:colOff>
                <xdr:row>25</xdr:row>
                <xdr:rowOff>12700</xdr:rowOff>
              </from>
              <to>
                <xdr:col>17</xdr:col>
                <xdr:colOff>6350</xdr:colOff>
                <xdr:row>25</xdr:row>
                <xdr:rowOff>260350</xdr:rowOff>
              </to>
            </anchor>
          </controlPr>
        </control>
      </mc:Choice>
    </mc:AlternateContent>
    <mc:AlternateContent xmlns:mc="http://schemas.openxmlformats.org/markup-compatibility/2006">
      <mc:Choice Requires="x14">
        <control shapeId="4106" r:id="rId21" name="Spinner 10">
          <controlPr defaultSize="0" autoPict="0">
            <anchor moveWithCells="1" sizeWithCells="1">
              <from>
                <xdr:col>16</xdr:col>
                <xdr:colOff>381000</xdr:colOff>
                <xdr:row>24</xdr:row>
                <xdr:rowOff>12700</xdr:rowOff>
              </from>
              <to>
                <xdr:col>17</xdr:col>
                <xdr:colOff>6350</xdr:colOff>
                <xdr:row>25</xdr:row>
                <xdr:rowOff>0</xdr:rowOff>
              </to>
            </anchor>
          </controlPr>
        </control>
      </mc:Choice>
    </mc:AlternateContent>
    <mc:AlternateContent xmlns:mc="http://schemas.openxmlformats.org/markup-compatibility/2006">
      <mc:Choice Requires="x14">
        <control shapeId="4107" r:id="rId22" name="Spinner 11">
          <controlPr defaultSize="0" autoPict="0">
            <anchor moveWithCells="1" sizeWithCells="1">
              <from>
                <xdr:col>16</xdr:col>
                <xdr:colOff>381000</xdr:colOff>
                <xdr:row>24</xdr:row>
                <xdr:rowOff>12700</xdr:rowOff>
              </from>
              <to>
                <xdr:col>17</xdr:col>
                <xdr:colOff>6350</xdr:colOff>
                <xdr:row>24</xdr:row>
                <xdr:rowOff>260350</xdr:rowOff>
              </to>
            </anchor>
          </controlPr>
        </control>
      </mc:Choice>
    </mc:AlternateContent>
    <mc:AlternateContent xmlns:mc="http://schemas.openxmlformats.org/markup-compatibility/2006">
      <mc:Choice Requires="x14">
        <control shapeId="4108" r:id="rId23" name="Spinner 12">
          <controlPr defaultSize="0" autoPict="0">
            <anchor moveWithCells="1" sizeWithCells="1">
              <from>
                <xdr:col>16</xdr:col>
                <xdr:colOff>381000</xdr:colOff>
                <xdr:row>24</xdr:row>
                <xdr:rowOff>12700</xdr:rowOff>
              </from>
              <to>
                <xdr:col>17</xdr:col>
                <xdr:colOff>6350</xdr:colOff>
                <xdr:row>25</xdr:row>
                <xdr:rowOff>0</xdr:rowOff>
              </to>
            </anchor>
          </controlPr>
        </control>
      </mc:Choice>
    </mc:AlternateContent>
    <mc:AlternateContent xmlns:mc="http://schemas.openxmlformats.org/markup-compatibility/2006">
      <mc:Choice Requires="x14">
        <control shapeId="4109" r:id="rId24" name="Spinner 13">
          <controlPr defaultSize="0" autoPict="0">
            <anchor moveWithCells="1" sizeWithCells="1">
              <from>
                <xdr:col>16</xdr:col>
                <xdr:colOff>381000</xdr:colOff>
                <xdr:row>24</xdr:row>
                <xdr:rowOff>12700</xdr:rowOff>
              </from>
              <to>
                <xdr:col>17</xdr:col>
                <xdr:colOff>6350</xdr:colOff>
                <xdr:row>24</xdr:row>
                <xdr:rowOff>260350</xdr:rowOff>
              </to>
            </anchor>
          </controlPr>
        </control>
      </mc:Choice>
    </mc:AlternateContent>
    <mc:AlternateContent xmlns:mc="http://schemas.openxmlformats.org/markup-compatibility/2006">
      <mc:Choice Requires="x14">
        <control shapeId="4112" r:id="rId25" name="Spinner 16">
          <controlPr defaultSize="0" autoPict="0">
            <anchor moveWithCells="1" sizeWithCells="1">
              <from>
                <xdr:col>7</xdr:col>
                <xdr:colOff>381000</xdr:colOff>
                <xdr:row>23</xdr:row>
                <xdr:rowOff>12700</xdr:rowOff>
              </from>
              <to>
                <xdr:col>8</xdr:col>
                <xdr:colOff>6350</xdr:colOff>
                <xdr:row>24</xdr:row>
                <xdr:rowOff>0</xdr:rowOff>
              </to>
            </anchor>
          </controlPr>
        </control>
      </mc:Choice>
    </mc:AlternateContent>
    <mc:AlternateContent xmlns:mc="http://schemas.openxmlformats.org/markup-compatibility/2006">
      <mc:Choice Requires="x14">
        <control shapeId="4113" r:id="rId26" name="Spinner 17">
          <controlPr defaultSize="0" autoPict="0">
            <anchor moveWithCells="1" sizeWithCells="1">
              <from>
                <xdr:col>7</xdr:col>
                <xdr:colOff>381000</xdr:colOff>
                <xdr:row>23</xdr:row>
                <xdr:rowOff>12700</xdr:rowOff>
              </from>
              <to>
                <xdr:col>8</xdr:col>
                <xdr:colOff>6350</xdr:colOff>
                <xdr:row>23</xdr:row>
                <xdr:rowOff>260350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Income Tax Form</vt:lpstr>
      <vt:lpstr>Sample 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2021-08-12T17:11:51Z</dcterms:created>
  <dcterms:modified xsi:type="dcterms:W3CDTF">2021-09-02T13:28:21Z</dcterms:modified>
</cp:coreProperties>
</file>